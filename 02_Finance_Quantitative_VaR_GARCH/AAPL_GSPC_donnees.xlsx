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ter-IREF/M2/Corporate Finance/"/>
    </mc:Choice>
  </mc:AlternateContent>
  <xr:revisionPtr revIDLastSave="0" documentId="8_{1A12F200-4421-2744-A9AF-90E270A80EA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AP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" l="1"/>
  <c r="Q27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M32" i="1"/>
  <c r="N32" i="1" s="1"/>
  <c r="M33" i="1"/>
  <c r="N33" i="1" s="1"/>
  <c r="M34" i="1"/>
  <c r="N34" i="1" s="1"/>
  <c r="M35" i="1"/>
  <c r="N35" i="1" s="1"/>
  <c r="M36" i="1"/>
  <c r="N36" i="1" s="1"/>
  <c r="M37" i="1"/>
  <c r="M38" i="1"/>
  <c r="N38" i="1" s="1"/>
  <c r="M39" i="1"/>
  <c r="N39" i="1" s="1"/>
  <c r="M40" i="1"/>
  <c r="N40" i="1" s="1"/>
  <c r="M41" i="1"/>
  <c r="N41" i="1" s="1"/>
  <c r="M42" i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3" i="1"/>
  <c r="N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G15" i="1"/>
  <c r="H15" i="1" s="1"/>
  <c r="G16" i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G3" i="1"/>
  <c r="H3" i="1" s="1"/>
  <c r="S47" i="1"/>
  <c r="Q47" i="1"/>
  <c r="S44" i="1"/>
  <c r="Q44" i="1"/>
  <c r="Q23" i="1"/>
  <c r="Q22" i="1"/>
  <c r="S38" i="1"/>
  <c r="S40" i="1" s="1"/>
  <c r="S41" i="1" s="1"/>
  <c r="Q38" i="1"/>
  <c r="Q40" i="1" s="1"/>
  <c r="Q41" i="1" s="1"/>
  <c r="T27" i="1"/>
  <c r="T31" i="1"/>
  <c r="T23" i="1"/>
  <c r="T22" i="1"/>
  <c r="N50" i="1"/>
  <c r="N42" i="1"/>
  <c r="N37" i="1"/>
  <c r="N31" i="1"/>
  <c r="N14" i="1"/>
  <c r="H14" i="1"/>
  <c r="H16" i="1"/>
  <c r="H22" i="1"/>
  <c r="H62" i="1"/>
  <c r="Q34" i="1" l="1"/>
  <c r="Q54" i="1" s="1"/>
  <c r="Q49" i="1"/>
  <c r="Q55" i="1" s="1"/>
  <c r="P9" i="1"/>
  <c r="R55" i="1"/>
  <c r="T34" i="1"/>
  <c r="S49" i="1"/>
  <c r="Q53" i="1" s="1"/>
  <c r="R53" i="1" s="1"/>
  <c r="P4" i="1"/>
</calcChain>
</file>

<file path=xl/sharedStrings.xml><?xml version="1.0" encoding="utf-8"?>
<sst xmlns="http://schemas.openxmlformats.org/spreadsheetml/2006/main" count="68" uniqueCount="40">
  <si>
    <t>Date</t>
  </si>
  <si>
    <t>Cloture_Ajustee</t>
  </si>
  <si>
    <t>Rendement</t>
  </si>
  <si>
    <t>observation_date</t>
  </si>
  <si>
    <t>TB3MS</t>
  </si>
  <si>
    <t>Rentabilité excédentaire</t>
  </si>
  <si>
    <t>(= rendement - TB3S)</t>
  </si>
  <si>
    <t>AAPL</t>
  </si>
  <si>
    <t>S&amp;P500</t>
  </si>
  <si>
    <t xml:space="preserve">Beta Apple avec PENTE() : </t>
  </si>
  <si>
    <t>Beta Apple Yahoo Finance :</t>
  </si>
  <si>
    <t>Alpha Apple avec Ordonnee.Origine() :</t>
  </si>
  <si>
    <t>Capitaux propres (valeur comptabe) :</t>
  </si>
  <si>
    <t xml:space="preserve">poids de la dette : </t>
  </si>
  <si>
    <t>poids des capitaiux propres :</t>
  </si>
  <si>
    <t>Cout des CP avec le MEDAF :</t>
  </si>
  <si>
    <t xml:space="preserve">T-Bills maturité 10 ans : </t>
  </si>
  <si>
    <t>prime de risque de marché :</t>
  </si>
  <si>
    <t xml:space="preserve">taux d'imposition sur les sociétés : </t>
  </si>
  <si>
    <t xml:space="preserve">cout du capital après impot de sa dette : </t>
  </si>
  <si>
    <t xml:space="preserve">rendement espérée d'une obligation apple à maturité jusqu'en 2043 : </t>
  </si>
  <si>
    <t xml:space="preserve">CMPC Apple : </t>
  </si>
  <si>
    <t>Valeur de marché de sa dette supérieur de 20%</t>
  </si>
  <si>
    <t>Valeur de marché de sa dette inférrieur de 20%</t>
  </si>
  <si>
    <t>Sensibilité CMPC vs valeur de marché de la dette</t>
  </si>
  <si>
    <t>Valeur comptable de la dette : taux -20%</t>
  </si>
  <si>
    <t>Valeur comptable de la dette : taux total</t>
  </si>
  <si>
    <t>Valeur comptable de la dette : taux +20%</t>
  </si>
  <si>
    <t xml:space="preserve">Valeur comptable total de la dette : </t>
  </si>
  <si>
    <t>3. Calculez le bêta d’Apple à l’aide de la fonction PENTE() d’Excel. Comparez le bêta obtenu avec celui de Yahoo! Finance et expliquez pourquoi ils diffèrent.</t>
  </si>
  <si>
    <t>3. Calculez l’alpha d’Apple sur la période à l’aide de la fonction ORDONNEE.ORIGINE() d’Excel. Interprétez le résultat.</t>
  </si>
  <si>
    <t>4. Afin d’obtenir le coût de la dette d’Apple, vous avez besoin de connaître la rentabilité à l’échéance et le prix d’obligations long terme émises par l’entreprise. Allez sur http: //finra.org/finra-data/fixed-income/corp-and-agency. Tapez le nom de l’entreprise. Recherchez la rentabilité espérée d’une dette non-rachetable (non-callable) de maturité aussi proche que possible de 10 ans. Trouvez la rentabilité à l’échéance et la note de crédit (S&amp;P Rating) de l’obligation de référence choisie</t>
  </si>
  <si>
    <t>5. Trouvez la valeur comptable de la dette à partir des bilans
 comptables d’Apple.</t>
  </si>
  <si>
    <t>6. Calculez le poids respectif de la dette et des capitaux propres d’Apple.</t>
  </si>
  <si>
    <t>7. Calculez le coût des capitaux propres d’Apple à l’aide du MEDAF, en supposant une prime de risque de marché de 5%.</t>
  </si>
  <si>
    <t>8. En supposant qu’Apple fait face à un taux d’imposition sur les sociétés de 20%, calculez le coût du capital après impôt de sa dette.</t>
  </si>
  <si>
    <t>9. Calculez alors le CMPC d’Apple.</t>
  </si>
  <si>
    <t>10. Refaites les questions 5 à 9 en utilisant cette fois-ci la dette nette, et non brute, d’Apple. Le CMPC est-il modifié? Pourquoi?</t>
  </si>
  <si>
    <t>11. Réalisez une analyse de sensibilité sur le CMPC d’Apple en supposant que la valeur de marché de sa dette est inférieure ou  supérieure de 20% à sa valeur comptable.</t>
  </si>
  <si>
    <t xml:space="preserve">Valeur nette de la dette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</si>
</sst>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/>
    <xf numFmtId="0" fontId="5" fillId="5" borderId="3" xfId="0" applyFont="1" applyFill="1" applyBorder="1" applyAlignment="1">
      <alignment wrapText="1"/>
    </xf>
    <xf numFmtId="0" fontId="1" fillId="0" borderId="4" xfId="0" applyFont="1" applyBorder="1"/>
    <xf numFmtId="0" fontId="0" fillId="0" borderId="4" xfId="0" applyBorder="1"/>
    <xf numFmtId="0" fontId="3" fillId="2" borderId="5" xfId="0" applyFont="1" applyFill="1" applyBorder="1"/>
    <xf numFmtId="0" fontId="5" fillId="5" borderId="8" xfId="0" applyFont="1" applyFill="1" applyBorder="1" applyAlignment="1">
      <alignment wrapText="1"/>
    </xf>
    <xf numFmtId="0" fontId="1" fillId="4" borderId="9" xfId="0" applyFont="1" applyFill="1" applyBorder="1"/>
    <xf numFmtId="165" fontId="0" fillId="6" borderId="0" xfId="1" applyNumberFormat="1" applyFont="1" applyFill="1" applyBorder="1"/>
    <xf numFmtId="0" fontId="1" fillId="0" borderId="11" xfId="0" applyFont="1" applyBorder="1"/>
    <xf numFmtId="0" fontId="0" fillId="0" borderId="12" xfId="0" applyBorder="1"/>
    <xf numFmtId="0" fontId="5" fillId="5" borderId="8" xfId="0" applyFont="1" applyFill="1" applyBorder="1"/>
    <xf numFmtId="0" fontId="1" fillId="4" borderId="11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4" borderId="8" xfId="0" applyFont="1" applyFill="1" applyBorder="1"/>
    <xf numFmtId="0" fontId="1" fillId="4" borderId="6" xfId="0" applyFont="1" applyFill="1" applyBorder="1"/>
    <xf numFmtId="0" fontId="1" fillId="0" borderId="6" xfId="0" applyFont="1" applyBorder="1"/>
    <xf numFmtId="0" fontId="0" fillId="0" borderId="11" xfId="0" applyBorder="1"/>
    <xf numFmtId="0" fontId="1" fillId="0" borderId="2" xfId="0" applyFont="1" applyBorder="1"/>
    <xf numFmtId="0" fontId="0" fillId="4" borderId="2" xfId="0" applyFill="1" applyBorder="1"/>
    <xf numFmtId="0" fontId="0" fillId="0" borderId="3" xfId="0" applyBorder="1"/>
    <xf numFmtId="10" fontId="0" fillId="0" borderId="4" xfId="0" applyNumberFormat="1" applyBorder="1"/>
    <xf numFmtId="0" fontId="0" fillId="0" borderId="0" xfId="0" applyBorder="1"/>
    <xf numFmtId="9" fontId="1" fillId="0" borderId="4" xfId="1" applyFont="1" applyBorder="1"/>
    <xf numFmtId="10" fontId="1" fillId="0" borderId="4" xfId="0" applyNumberFormat="1" applyFont="1" applyBorder="1"/>
    <xf numFmtId="9" fontId="1" fillId="0" borderId="3" xfId="1" applyFont="1" applyBorder="1"/>
    <xf numFmtId="10" fontId="1" fillId="4" borderId="5" xfId="0" applyNumberFormat="1" applyFont="1" applyFill="1" applyBorder="1"/>
    <xf numFmtId="9" fontId="1" fillId="4" borderId="3" xfId="1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6" fillId="0" borderId="2" xfId="0" applyFont="1" applyBorder="1"/>
    <xf numFmtId="10" fontId="1" fillId="0" borderId="5" xfId="0" applyNumberFormat="1" applyFont="1" applyBorder="1"/>
    <xf numFmtId="0" fontId="1" fillId="4" borderId="2" xfId="0" applyFont="1" applyFill="1" applyBorder="1"/>
    <xf numFmtId="10" fontId="1" fillId="3" borderId="12" xfId="0" applyNumberFormat="1" applyFont="1" applyFill="1" applyBorder="1"/>
    <xf numFmtId="10" fontId="7" fillId="2" borderId="10" xfId="0" applyNumberFormat="1" applyFont="1" applyFill="1" applyBorder="1"/>
    <xf numFmtId="10" fontId="1" fillId="0" borderId="0" xfId="1" applyNumberFormat="1" applyFont="1"/>
    <xf numFmtId="10" fontId="1" fillId="0" borderId="2" xfId="0" applyNumberFormat="1" applyFont="1" applyBorder="1"/>
    <xf numFmtId="10" fontId="1" fillId="0" borderId="0" xfId="0" applyNumberFormat="1" applyFont="1"/>
    <xf numFmtId="165" fontId="1" fillId="2" borderId="5" xfId="1" applyNumberFormat="1" applyFont="1" applyFill="1" applyBorder="1"/>
    <xf numFmtId="10" fontId="1" fillId="4" borderId="5" xfId="1" applyNumberFormat="1" applyFont="1" applyFill="1" applyBorder="1"/>
    <xf numFmtId="10" fontId="1" fillId="0" borderId="3" xfId="1" applyNumberFormat="1" applyFont="1" applyBorder="1"/>
    <xf numFmtId="0" fontId="1" fillId="0" borderId="3" xfId="0" applyFont="1" applyBorder="1"/>
    <xf numFmtId="0" fontId="6" fillId="0" borderId="4" xfId="0" applyFont="1" applyBorder="1"/>
    <xf numFmtId="0" fontId="1" fillId="4" borderId="4" xfId="0" applyFont="1" applyFill="1" applyBorder="1"/>
    <xf numFmtId="0" fontId="1" fillId="3" borderId="5" xfId="0" applyFont="1" applyFill="1" applyBorder="1"/>
    <xf numFmtId="10" fontId="1" fillId="2" borderId="2" xfId="1" applyNumberFormat="1" applyFont="1" applyFill="1" applyBorder="1"/>
    <xf numFmtId="9" fontId="0" fillId="0" borderId="2" xfId="0" applyNumberFormat="1" applyBorder="1"/>
    <xf numFmtId="0" fontId="1" fillId="0" borderId="0" xfId="0" applyFont="1" applyBorder="1"/>
    <xf numFmtId="0" fontId="0" fillId="0" borderId="6" xfId="0" applyBorder="1"/>
    <xf numFmtId="0" fontId="1" fillId="0" borderId="7" xfId="0" applyFont="1" applyBorder="1"/>
    <xf numFmtId="0" fontId="0" fillId="0" borderId="13" xfId="0" applyBorder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K16" zoomScale="84" zoomScaleNormal="149" workbookViewId="0">
      <selection activeCell="R35" sqref="R35"/>
    </sheetView>
  </sheetViews>
  <sheetFormatPr baseColWidth="10" defaultColWidth="9" defaultRowHeight="15" x14ac:dyDescent="0.2"/>
  <cols>
    <col min="1" max="1" width="16.6640625" bestFit="1" customWidth="1"/>
    <col min="2" max="2" width="6.5" style="4" bestFit="1" customWidth="1"/>
    <col min="3" max="3" width="6.5" style="4" customWidth="1"/>
    <col min="4" max="4" width="8.83203125" customWidth="1"/>
    <col min="5" max="5" width="20.6640625" style="2" customWidth="1"/>
    <col min="6" max="6" width="13.83203125" bestFit="1" customWidth="1"/>
    <col min="7" max="7" width="10.33203125" bestFit="1" customWidth="1"/>
    <col min="8" max="8" width="20" bestFit="1" customWidth="1"/>
    <col min="9" max="9" width="20" customWidth="1"/>
    <col min="11" max="11" width="20.6640625" style="2" customWidth="1"/>
    <col min="12" max="12" width="13.83203125" bestFit="1" customWidth="1"/>
    <col min="13" max="13" width="11.6640625" bestFit="1" customWidth="1"/>
    <col min="14" max="14" width="20" bestFit="1" customWidth="1"/>
    <col min="16" max="16" width="88.83203125" bestFit="1" customWidth="1"/>
    <col min="17" max="17" width="8.6640625" customWidth="1"/>
    <col min="18" max="18" width="38" bestFit="1" customWidth="1"/>
    <col min="19" max="19" width="42.33203125" customWidth="1"/>
    <col min="20" max="20" width="9.1640625" customWidth="1"/>
  </cols>
  <sheetData>
    <row r="1" spans="1:20" s="1" customFormat="1" ht="33" thickBot="1" x14ac:dyDescent="0.25">
      <c r="A1" s="3" t="s">
        <v>3</v>
      </c>
      <c r="B1" s="3" t="s">
        <v>4</v>
      </c>
      <c r="C1" s="8"/>
      <c r="D1" s="1" t="s">
        <v>7</v>
      </c>
      <c r="E1" s="1" t="s">
        <v>0</v>
      </c>
      <c r="F1" s="1" t="s">
        <v>1</v>
      </c>
      <c r="G1" s="1" t="s">
        <v>2</v>
      </c>
      <c r="H1" s="1" t="s">
        <v>5</v>
      </c>
      <c r="J1" s="1" t="s">
        <v>8</v>
      </c>
      <c r="K1" s="1" t="s">
        <v>0</v>
      </c>
      <c r="L1" s="1" t="s">
        <v>1</v>
      </c>
      <c r="M1" s="1" t="s">
        <v>2</v>
      </c>
      <c r="N1" s="1" t="s">
        <v>5</v>
      </c>
      <c r="P1" s="10" t="s">
        <v>29</v>
      </c>
    </row>
    <row r="2" spans="1:20" x14ac:dyDescent="0.2">
      <c r="A2" s="2">
        <v>44075</v>
      </c>
      <c r="B2" s="5">
        <v>1.1000000000000001E-3</v>
      </c>
      <c r="C2" s="5"/>
      <c r="E2" s="2">
        <v>44110</v>
      </c>
      <c r="F2">
        <v>105.8900680541992</v>
      </c>
      <c r="G2" s="5"/>
      <c r="H2" s="7" t="s">
        <v>6</v>
      </c>
      <c r="I2" s="7"/>
      <c r="K2" s="2">
        <v>44110</v>
      </c>
      <c r="L2">
        <v>3269.9599609375</v>
      </c>
      <c r="M2" s="5"/>
      <c r="P2" s="11" t="s">
        <v>9</v>
      </c>
      <c r="R2" s="50" t="s">
        <v>10</v>
      </c>
    </row>
    <row r="3" spans="1:20" x14ac:dyDescent="0.2">
      <c r="A3" s="2">
        <v>44105</v>
      </c>
      <c r="B3" s="5">
        <v>1E-3</v>
      </c>
      <c r="C3" s="5"/>
      <c r="E3" s="2">
        <v>44137</v>
      </c>
      <c r="F3">
        <v>116.0018310546875</v>
      </c>
      <c r="G3" s="5">
        <f>LN(F3/F2)</f>
        <v>9.1204513806142376E-2</v>
      </c>
      <c r="H3" s="6">
        <f>G3-B4</f>
        <v>9.0304513806142378E-2</v>
      </c>
      <c r="I3" s="6"/>
      <c r="K3" s="2">
        <v>44137</v>
      </c>
      <c r="L3">
        <v>3621.6298828125</v>
      </c>
      <c r="M3" s="5">
        <f>LN(L3/L2)</f>
        <v>0.10214642790660017</v>
      </c>
      <c r="N3" s="6">
        <f>M3-B4</f>
        <v>0.10124642790660017</v>
      </c>
      <c r="P3" s="12"/>
      <c r="R3" s="12"/>
    </row>
    <row r="4" spans="1:20" ht="17" thickBot="1" x14ac:dyDescent="0.25">
      <c r="A4" s="2">
        <v>44136</v>
      </c>
      <c r="B4" s="5">
        <v>8.9999999999999998E-4</v>
      </c>
      <c r="C4" s="5"/>
      <c r="E4" s="2">
        <v>44166</v>
      </c>
      <c r="F4">
        <v>129.29261779785159</v>
      </c>
      <c r="G4" s="5">
        <f t="shared" ref="G4:G62" si="0">LN(F4/F3)</f>
        <v>0.10847221461448858</v>
      </c>
      <c r="H4" s="6">
        <f t="shared" ref="H4:H62" si="1">G4-B5</f>
        <v>0.10757221461448858</v>
      </c>
      <c r="I4" s="6"/>
      <c r="K4" s="2">
        <v>44166</v>
      </c>
      <c r="L4">
        <v>3756.070068359375</v>
      </c>
      <c r="M4" s="5">
        <f t="shared" ref="M4:M62" si="2">LN(L4/L3)</f>
        <v>3.6449047840591588E-2</v>
      </c>
      <c r="N4" s="6">
        <f t="shared" ref="N4:N62" si="3">M4-B5</f>
        <v>3.554904784059159E-2</v>
      </c>
      <c r="P4" s="13">
        <f>SLOPE(H3:H62,N3:N62)</f>
        <v>1.0959841120685647</v>
      </c>
      <c r="R4" s="53">
        <v>1.0900000000000001</v>
      </c>
    </row>
    <row r="5" spans="1:20" ht="16" thickBot="1" x14ac:dyDescent="0.25">
      <c r="A5" s="2">
        <v>44166</v>
      </c>
      <c r="B5" s="5">
        <v>8.9999999999999998E-4</v>
      </c>
      <c r="C5" s="5"/>
      <c r="E5" s="2">
        <v>44200</v>
      </c>
      <c r="F5">
        <v>128.58128356933591</v>
      </c>
      <c r="G5" s="5">
        <f t="shared" si="0"/>
        <v>-5.5169292352135043E-3</v>
      </c>
      <c r="H5" s="6">
        <f t="shared" si="1"/>
        <v>-6.3169292352135047E-3</v>
      </c>
      <c r="I5" s="6"/>
      <c r="K5" s="2">
        <v>44200</v>
      </c>
      <c r="L5">
        <v>3714.239990234375</v>
      </c>
      <c r="M5" s="5">
        <f t="shared" si="2"/>
        <v>-1.1199137650888501E-2</v>
      </c>
      <c r="N5" s="6">
        <f t="shared" si="3"/>
        <v>-1.1999137650888501E-2</v>
      </c>
    </row>
    <row r="6" spans="1:20" ht="32" x14ac:dyDescent="0.2">
      <c r="A6" s="2">
        <v>44197</v>
      </c>
      <c r="B6" s="5">
        <v>8.0000000000000004E-4</v>
      </c>
      <c r="C6" s="5"/>
      <c r="E6" s="2">
        <v>44228</v>
      </c>
      <c r="F6">
        <v>118.33180999755859</v>
      </c>
      <c r="G6" s="5">
        <f t="shared" si="0"/>
        <v>-8.3068633850884505E-2</v>
      </c>
      <c r="H6" s="6">
        <f t="shared" si="1"/>
        <v>-8.3468633850884502E-2</v>
      </c>
      <c r="I6" s="6"/>
      <c r="K6" s="2">
        <v>44228</v>
      </c>
      <c r="L6">
        <v>3811.14990234375</v>
      </c>
      <c r="M6" s="5">
        <f t="shared" si="2"/>
        <v>2.5756876672536639E-2</v>
      </c>
      <c r="N6" s="6">
        <f t="shared" si="3"/>
        <v>2.5356876672536638E-2</v>
      </c>
      <c r="P6" s="10" t="s">
        <v>30</v>
      </c>
    </row>
    <row r="7" spans="1:20" x14ac:dyDescent="0.2">
      <c r="A7" s="2">
        <v>44228</v>
      </c>
      <c r="B7" s="5">
        <v>4.0000000000000002E-4</v>
      </c>
      <c r="C7" s="5"/>
      <c r="E7" s="2">
        <v>44256</v>
      </c>
      <c r="F7">
        <v>119.2003173828125</v>
      </c>
      <c r="G7" s="5">
        <f t="shared" si="0"/>
        <v>7.3127897708153353E-3</v>
      </c>
      <c r="H7" s="6">
        <f t="shared" si="1"/>
        <v>7.0127897708153353E-3</v>
      </c>
      <c r="I7" s="6"/>
      <c r="K7" s="2">
        <v>44256</v>
      </c>
      <c r="L7">
        <v>3972.889892578125</v>
      </c>
      <c r="M7" s="5">
        <f t="shared" si="2"/>
        <v>4.1562807282546625E-2</v>
      </c>
      <c r="N7" s="6">
        <f t="shared" si="3"/>
        <v>4.1262807282546624E-2</v>
      </c>
      <c r="P7" s="11" t="s">
        <v>11</v>
      </c>
    </row>
    <row r="8" spans="1:20" x14ac:dyDescent="0.2">
      <c r="A8" s="2">
        <v>44256</v>
      </c>
      <c r="B8" s="5">
        <v>2.9999999999999997E-4</v>
      </c>
      <c r="C8" s="5"/>
      <c r="E8" s="2">
        <v>44287</v>
      </c>
      <c r="F8">
        <v>128.2855224609375</v>
      </c>
      <c r="G8" s="5">
        <f t="shared" si="0"/>
        <v>7.3453006717215982E-2</v>
      </c>
      <c r="H8" s="6">
        <f t="shared" si="1"/>
        <v>7.3253006717215977E-2</v>
      </c>
      <c r="I8" s="6"/>
      <c r="K8" s="2">
        <v>44287</v>
      </c>
      <c r="L8">
        <v>4181.169921875</v>
      </c>
      <c r="M8" s="5">
        <f t="shared" si="2"/>
        <v>5.1097330468056409E-2</v>
      </c>
      <c r="N8" s="6">
        <f t="shared" si="3"/>
        <v>5.0897330468056411E-2</v>
      </c>
      <c r="P8" s="12"/>
    </row>
    <row r="9" spans="1:20" ht="16" thickBot="1" x14ac:dyDescent="0.25">
      <c r="A9" s="2">
        <v>44287</v>
      </c>
      <c r="B9" s="5">
        <v>2.0000000000000001E-4</v>
      </c>
      <c r="C9" s="5"/>
      <c r="E9" s="2">
        <v>44319</v>
      </c>
      <c r="F9">
        <v>121.8074645996094</v>
      </c>
      <c r="G9" s="5">
        <f t="shared" si="0"/>
        <v>-5.181678484342505E-2</v>
      </c>
      <c r="H9" s="6">
        <f t="shared" si="1"/>
        <v>-5.2016784843425048E-2</v>
      </c>
      <c r="I9" s="6"/>
      <c r="K9" s="2">
        <v>44319</v>
      </c>
      <c r="L9">
        <v>4204.10986328125</v>
      </c>
      <c r="M9" s="5">
        <f t="shared" si="2"/>
        <v>5.4714927167232698E-3</v>
      </c>
      <c r="N9" s="6">
        <f t="shared" si="3"/>
        <v>5.2714927167232702E-3</v>
      </c>
      <c r="P9" s="47">
        <f>INTERCEPT(H3:H62,N3:N62)</f>
        <v>4.6254096982838271E-3</v>
      </c>
    </row>
    <row r="10" spans="1:20" ht="16" thickBot="1" x14ac:dyDescent="0.25">
      <c r="A10" s="2">
        <v>44317</v>
      </c>
      <c r="B10" s="5">
        <v>2.0000000000000001E-4</v>
      </c>
      <c r="C10" s="5"/>
      <c r="E10" s="2">
        <v>44348</v>
      </c>
      <c r="F10">
        <v>133.87974548339841</v>
      </c>
      <c r="G10" s="5">
        <f t="shared" si="0"/>
        <v>9.4500336152252118E-2</v>
      </c>
      <c r="H10" s="6">
        <f t="shared" si="1"/>
        <v>9.410033615225212E-2</v>
      </c>
      <c r="I10" s="6"/>
      <c r="K10" s="2">
        <v>44348</v>
      </c>
      <c r="L10">
        <v>4297.5</v>
      </c>
      <c r="M10" s="5">
        <f t="shared" si="2"/>
        <v>2.1970872566122474E-2</v>
      </c>
      <c r="N10" s="6">
        <f t="shared" si="3"/>
        <v>2.1570872566122473E-2</v>
      </c>
      <c r="P10" s="16"/>
    </row>
    <row r="11" spans="1:20" ht="96" x14ac:dyDescent="0.2">
      <c r="A11" s="2">
        <v>44348</v>
      </c>
      <c r="B11" s="5">
        <v>4.0000000000000002E-4</v>
      </c>
      <c r="C11" s="5"/>
      <c r="E11" s="2">
        <v>44378</v>
      </c>
      <c r="F11">
        <v>142.57954406738281</v>
      </c>
      <c r="G11" s="5">
        <f t="shared" si="0"/>
        <v>6.2958072691214118E-2</v>
      </c>
      <c r="H11" s="6">
        <f t="shared" si="1"/>
        <v>6.2458072691214117E-2</v>
      </c>
      <c r="I11" s="6"/>
      <c r="K11" s="2">
        <v>44378</v>
      </c>
      <c r="L11">
        <v>4395.259765625</v>
      </c>
      <c r="M11" s="5">
        <f t="shared" si="2"/>
        <v>2.2493175922251307E-2</v>
      </c>
      <c r="N11" s="6">
        <f t="shared" si="3"/>
        <v>2.1993175922251307E-2</v>
      </c>
      <c r="P11" s="14" t="s">
        <v>31</v>
      </c>
      <c r="Q11" s="29"/>
    </row>
    <row r="12" spans="1:20" ht="16" thickBot="1" x14ac:dyDescent="0.25">
      <c r="A12" s="2">
        <v>44378</v>
      </c>
      <c r="B12" s="5">
        <v>5.0000000000000001E-4</v>
      </c>
      <c r="C12" s="5"/>
      <c r="E12" s="2">
        <v>44410</v>
      </c>
      <c r="F12">
        <v>148.63761901855469</v>
      </c>
      <c r="G12" s="5">
        <f t="shared" si="0"/>
        <v>4.1611208541258986E-2</v>
      </c>
      <c r="H12" s="6">
        <f t="shared" si="1"/>
        <v>4.1111208541258985E-2</v>
      </c>
      <c r="I12" s="6"/>
      <c r="K12" s="2">
        <v>44410</v>
      </c>
      <c r="L12">
        <v>4522.68017578125</v>
      </c>
      <c r="M12" s="5">
        <f t="shared" si="2"/>
        <v>2.8578143159792575E-2</v>
      </c>
      <c r="N12" s="6">
        <f t="shared" si="3"/>
        <v>2.8078143159792575E-2</v>
      </c>
      <c r="P12" s="15" t="s">
        <v>20</v>
      </c>
      <c r="Q12" s="48">
        <v>5.0799999999999998E-2</v>
      </c>
    </row>
    <row r="13" spans="1:20" ht="16" thickBot="1" x14ac:dyDescent="0.25">
      <c r="A13" s="2">
        <v>44409</v>
      </c>
      <c r="B13" s="5">
        <v>5.0000000000000001E-4</v>
      </c>
      <c r="C13" s="5"/>
      <c r="E13" s="2">
        <v>44440</v>
      </c>
      <c r="F13">
        <v>138.52484130859381</v>
      </c>
      <c r="G13" s="5">
        <f t="shared" si="0"/>
        <v>-7.0461587320494193E-2</v>
      </c>
      <c r="H13" s="6">
        <f t="shared" si="1"/>
        <v>-7.086158732049419E-2</v>
      </c>
      <c r="I13" s="6"/>
      <c r="K13" s="2">
        <v>44440</v>
      </c>
      <c r="L13">
        <v>4307.5400390625</v>
      </c>
      <c r="M13" s="5">
        <f t="shared" si="2"/>
        <v>-4.8737792782833161E-2</v>
      </c>
      <c r="N13" s="6">
        <f t="shared" si="3"/>
        <v>-4.9137792782833159E-2</v>
      </c>
      <c r="P13" s="9"/>
      <c r="Q13" s="44"/>
    </row>
    <row r="14" spans="1:20" ht="48" x14ac:dyDescent="0.2">
      <c r="A14" s="2">
        <v>44440</v>
      </c>
      <c r="B14" s="5">
        <v>4.0000000000000002E-4</v>
      </c>
      <c r="C14" s="5"/>
      <c r="E14" s="2">
        <v>44470</v>
      </c>
      <c r="F14">
        <v>146.65031433105469</v>
      </c>
      <c r="G14" s="5">
        <f t="shared" si="0"/>
        <v>5.7001269657799961E-2</v>
      </c>
      <c r="H14" s="6">
        <f t="shared" si="1"/>
        <v>5.650126965779996E-2</v>
      </c>
      <c r="I14" s="6"/>
      <c r="K14" s="2">
        <v>44470</v>
      </c>
      <c r="L14">
        <v>4605.3798828125</v>
      </c>
      <c r="M14" s="5">
        <f t="shared" si="2"/>
        <v>6.6858175283989296E-2</v>
      </c>
      <c r="N14" s="6">
        <f t="shared" si="3"/>
        <v>6.6358175283989296E-2</v>
      </c>
      <c r="P14" s="14" t="s">
        <v>32</v>
      </c>
      <c r="Q14" s="49"/>
      <c r="S14" s="14" t="s">
        <v>37</v>
      </c>
      <c r="T14" s="29"/>
    </row>
    <row r="15" spans="1:20" ht="16" thickBot="1" x14ac:dyDescent="0.25">
      <c r="A15" s="2">
        <v>44470</v>
      </c>
      <c r="B15" s="5">
        <v>5.0000000000000001E-4</v>
      </c>
      <c r="C15" s="5"/>
      <c r="E15" s="2">
        <v>44501</v>
      </c>
      <c r="F15">
        <v>162.06062316894531</v>
      </c>
      <c r="G15" s="5">
        <f t="shared" si="0"/>
        <v>9.9919543491872112E-2</v>
      </c>
      <c r="H15" s="6">
        <f t="shared" si="1"/>
        <v>9.9419543491872112E-2</v>
      </c>
      <c r="I15" s="6"/>
      <c r="K15" s="2">
        <v>44501</v>
      </c>
      <c r="L15">
        <v>4567</v>
      </c>
      <c r="M15" s="5">
        <f t="shared" si="2"/>
        <v>-8.3686256552052661E-3</v>
      </c>
      <c r="N15" s="6">
        <f t="shared" si="3"/>
        <v>-8.8686256552052666E-3</v>
      </c>
      <c r="P15" s="17"/>
      <c r="Q15" s="11"/>
      <c r="S15" s="26"/>
      <c r="T15" s="12"/>
    </row>
    <row r="16" spans="1:20" ht="16" thickBot="1" x14ac:dyDescent="0.25">
      <c r="A16" s="2">
        <v>44501</v>
      </c>
      <c r="B16" s="5">
        <v>5.0000000000000001E-4</v>
      </c>
      <c r="C16" s="5"/>
      <c r="E16" s="2">
        <v>44531</v>
      </c>
      <c r="F16">
        <v>174.09014892578131</v>
      </c>
      <c r="G16" s="5">
        <f t="shared" si="0"/>
        <v>7.1602780000193531E-2</v>
      </c>
      <c r="H16" s="6">
        <f t="shared" si="1"/>
        <v>7.1002780000193527E-2</v>
      </c>
      <c r="I16" s="6"/>
      <c r="K16" s="2">
        <v>44531</v>
      </c>
      <c r="L16">
        <v>4766.18017578125</v>
      </c>
      <c r="M16" s="5">
        <f t="shared" si="2"/>
        <v>4.2688648161396649E-2</v>
      </c>
      <c r="N16" s="6">
        <f t="shared" si="3"/>
        <v>4.2088648161396645E-2</v>
      </c>
      <c r="P16" s="15" t="s">
        <v>28</v>
      </c>
      <c r="Q16" s="38">
        <v>106629000000</v>
      </c>
      <c r="S16" s="23" t="s">
        <v>39</v>
      </c>
      <c r="T16" s="41">
        <v>76686000000</v>
      </c>
    </row>
    <row r="17" spans="1:20" ht="16" thickBot="1" x14ac:dyDescent="0.25">
      <c r="A17" s="2">
        <v>44531</v>
      </c>
      <c r="B17" s="5">
        <v>5.9999999999999995E-4</v>
      </c>
      <c r="C17" s="5"/>
      <c r="E17" s="2">
        <v>44564</v>
      </c>
      <c r="F17">
        <v>171.3548278808594</v>
      </c>
      <c r="G17" s="5">
        <f t="shared" si="0"/>
        <v>-1.583683884724426E-2</v>
      </c>
      <c r="H17" s="6">
        <f t="shared" si="1"/>
        <v>-1.7336838847244261E-2</v>
      </c>
      <c r="I17" s="6"/>
      <c r="K17" s="2">
        <v>44564</v>
      </c>
      <c r="L17">
        <v>4515.5498046875</v>
      </c>
      <c r="M17" s="5">
        <f t="shared" si="2"/>
        <v>-5.4018229999283421E-2</v>
      </c>
      <c r="N17" s="6">
        <f t="shared" si="3"/>
        <v>-5.5518229999283422E-2</v>
      </c>
      <c r="P17" s="25" t="s">
        <v>16</v>
      </c>
      <c r="Q17" s="45">
        <v>4.1189999999999997E-2</v>
      </c>
      <c r="S17" s="25" t="s">
        <v>16</v>
      </c>
      <c r="T17" s="40">
        <v>4.1200000000000001E-2</v>
      </c>
    </row>
    <row r="18" spans="1:20" ht="16" thickBot="1" x14ac:dyDescent="0.25">
      <c r="A18" s="2">
        <v>44562</v>
      </c>
      <c r="B18" s="5">
        <v>1.5E-3</v>
      </c>
      <c r="C18" s="5"/>
      <c r="E18" s="2">
        <v>44593</v>
      </c>
      <c r="F18">
        <v>162.0903625488281</v>
      </c>
      <c r="G18" s="5">
        <f t="shared" si="0"/>
        <v>-5.5582450241142368E-2</v>
      </c>
      <c r="H18" s="6">
        <f t="shared" si="1"/>
        <v>-5.8882450241142366E-2</v>
      </c>
      <c r="I18" s="6"/>
      <c r="K18" s="2">
        <v>44593</v>
      </c>
      <c r="L18">
        <v>4373.93994140625</v>
      </c>
      <c r="M18" s="5">
        <f t="shared" si="2"/>
        <v>-3.1862761021711462E-2</v>
      </c>
      <c r="N18" s="6">
        <f t="shared" si="3"/>
        <v>-3.516276102171146E-2</v>
      </c>
      <c r="Q18" s="9"/>
      <c r="S18" s="26"/>
      <c r="T18" s="12"/>
    </row>
    <row r="19" spans="1:20" ht="16" thickBot="1" x14ac:dyDescent="0.25">
      <c r="A19" s="2">
        <v>44593</v>
      </c>
      <c r="B19" s="5">
        <v>3.3E-3</v>
      </c>
      <c r="C19" s="5"/>
      <c r="E19" s="2">
        <v>44621</v>
      </c>
      <c r="F19">
        <v>171.4062805175781</v>
      </c>
      <c r="G19" s="5">
        <f t="shared" si="0"/>
        <v>5.5882674717283073E-2</v>
      </c>
      <c r="H19" s="6">
        <f t="shared" si="1"/>
        <v>5.1482674717283072E-2</v>
      </c>
      <c r="I19" s="6"/>
      <c r="K19" s="2">
        <v>44621</v>
      </c>
      <c r="L19">
        <v>4530.41015625</v>
      </c>
      <c r="M19" s="5">
        <f t="shared" si="2"/>
        <v>3.5148286271522736E-2</v>
      </c>
      <c r="N19" s="6">
        <f t="shared" si="3"/>
        <v>3.0748286271522735E-2</v>
      </c>
      <c r="P19" s="19" t="s">
        <v>33</v>
      </c>
      <c r="Q19" s="50"/>
      <c r="S19" s="26"/>
      <c r="T19" s="12"/>
    </row>
    <row r="20" spans="1:20" ht="16" thickBot="1" x14ac:dyDescent="0.25">
      <c r="A20" s="2">
        <v>44621</v>
      </c>
      <c r="B20" s="5">
        <v>4.4000000000000003E-3</v>
      </c>
      <c r="C20" s="5"/>
      <c r="E20" s="2">
        <v>44652</v>
      </c>
      <c r="F20">
        <v>154.75743103027341</v>
      </c>
      <c r="G20" s="5">
        <f t="shared" si="0"/>
        <v>-0.10217771795843966</v>
      </c>
      <c r="H20" s="6">
        <f t="shared" si="1"/>
        <v>-0.10977771795843966</v>
      </c>
      <c r="I20" s="6"/>
      <c r="K20" s="2">
        <v>44652</v>
      </c>
      <c r="L20">
        <v>4131.93017578125</v>
      </c>
      <c r="M20" s="5">
        <f t="shared" si="2"/>
        <v>-9.2067824907422324E-2</v>
      </c>
      <c r="N20" s="6">
        <f t="shared" si="3"/>
        <v>-9.966782490742232E-2</v>
      </c>
      <c r="P20" s="17" t="s">
        <v>12</v>
      </c>
      <c r="Q20" s="51">
        <v>56950000000</v>
      </c>
      <c r="S20" s="25" t="s">
        <v>12</v>
      </c>
      <c r="T20" s="39">
        <v>56950000000</v>
      </c>
    </row>
    <row r="21" spans="1:20" ht="16" thickBot="1" x14ac:dyDescent="0.25">
      <c r="A21" s="2">
        <v>44652</v>
      </c>
      <c r="B21" s="5">
        <v>7.6E-3</v>
      </c>
      <c r="C21" s="5"/>
      <c r="E21" s="2">
        <v>44683</v>
      </c>
      <c r="F21">
        <v>146.32374572753909</v>
      </c>
      <c r="G21" s="5">
        <f t="shared" si="0"/>
        <v>-5.6037326679137155E-2</v>
      </c>
      <c r="H21" s="6">
        <f t="shared" si="1"/>
        <v>-6.5837326679137151E-2</v>
      </c>
      <c r="I21" s="6"/>
      <c r="K21" s="2">
        <v>44683</v>
      </c>
      <c r="L21">
        <v>4132.14990234375</v>
      </c>
      <c r="M21" s="5">
        <f t="shared" si="2"/>
        <v>5.3176290760624664E-5</v>
      </c>
      <c r="N21" s="6">
        <f t="shared" si="3"/>
        <v>-9.7468237092393755E-3</v>
      </c>
      <c r="P21" s="17"/>
      <c r="Q21" s="11"/>
      <c r="S21" s="17"/>
      <c r="T21" s="12"/>
    </row>
    <row r="22" spans="1:20" x14ac:dyDescent="0.2">
      <c r="A22" s="2">
        <v>44682</v>
      </c>
      <c r="B22" s="5">
        <v>9.7999999999999997E-3</v>
      </c>
      <c r="C22" s="5"/>
      <c r="E22" s="2">
        <v>44713</v>
      </c>
      <c r="F22">
        <v>134.40864562988281</v>
      </c>
      <c r="G22" s="5">
        <f t="shared" si="0"/>
        <v>-8.493684969098729E-2</v>
      </c>
      <c r="H22" s="6">
        <f t="shared" si="1"/>
        <v>-9.9836849690987287E-2</v>
      </c>
      <c r="I22" s="6"/>
      <c r="K22" s="2">
        <v>44713</v>
      </c>
      <c r="L22">
        <v>3785.3798828125</v>
      </c>
      <c r="M22" s="5">
        <f t="shared" si="2"/>
        <v>-8.7651581804817913E-2</v>
      </c>
      <c r="N22" s="6">
        <f t="shared" si="3"/>
        <v>-0.10255158180481791</v>
      </c>
      <c r="P22" s="20" t="s">
        <v>13</v>
      </c>
      <c r="Q22" s="52">
        <f>Q16/(Q16+Q20)</f>
        <v>0.65185017636738207</v>
      </c>
      <c r="S22" s="23" t="s">
        <v>13</v>
      </c>
      <c r="T22" s="37">
        <f>T16/(T16+T20)</f>
        <v>0.57384237780238856</v>
      </c>
    </row>
    <row r="23" spans="1:20" ht="16" thickBot="1" x14ac:dyDescent="0.25">
      <c r="A23" s="2">
        <v>44713</v>
      </c>
      <c r="B23" s="5">
        <v>1.49E-2</v>
      </c>
      <c r="C23" s="5"/>
      <c r="E23" s="2">
        <v>44743</v>
      </c>
      <c r="F23">
        <v>159.76264953613281</v>
      </c>
      <c r="G23" s="5">
        <f t="shared" si="0"/>
        <v>0.17280451982417294</v>
      </c>
      <c r="H23" s="6">
        <f t="shared" si="1"/>
        <v>0.15050451982417296</v>
      </c>
      <c r="I23" s="6"/>
      <c r="K23" s="2">
        <v>44743</v>
      </c>
      <c r="L23">
        <v>4130.2900390625</v>
      </c>
      <c r="M23" s="5">
        <f t="shared" si="2"/>
        <v>8.7201384689715875E-2</v>
      </c>
      <c r="N23" s="6">
        <f t="shared" si="3"/>
        <v>6.4901384689715874E-2</v>
      </c>
      <c r="P23" s="15" t="s">
        <v>14</v>
      </c>
      <c r="Q23" s="38">
        <f>Q20/(Q16+Q20)</f>
        <v>0.34814982363261787</v>
      </c>
      <c r="S23" s="15" t="s">
        <v>14</v>
      </c>
      <c r="T23" s="38">
        <f>T20/(T16+T20)</f>
        <v>0.42615762219761144</v>
      </c>
    </row>
    <row r="24" spans="1:20" ht="16" thickBot="1" x14ac:dyDescent="0.25">
      <c r="A24" s="2">
        <v>44743</v>
      </c>
      <c r="B24" s="5">
        <v>2.23E-2</v>
      </c>
      <c r="C24" s="5"/>
      <c r="E24" s="2">
        <v>44774</v>
      </c>
      <c r="F24">
        <v>154.7767639160156</v>
      </c>
      <c r="G24" s="5">
        <f t="shared" si="0"/>
        <v>-3.1705427460384676E-2</v>
      </c>
      <c r="H24" s="6">
        <f t="shared" si="1"/>
        <v>-5.8005427460384673E-2</v>
      </c>
      <c r="I24" s="6"/>
      <c r="K24" s="2">
        <v>44774</v>
      </c>
      <c r="L24">
        <v>3955</v>
      </c>
      <c r="M24" s="5">
        <f t="shared" si="2"/>
        <v>-4.3367030663405449E-2</v>
      </c>
      <c r="N24" s="6">
        <f t="shared" si="3"/>
        <v>-6.9667030663405446E-2</v>
      </c>
      <c r="P24" s="9"/>
      <c r="Q24" s="9"/>
      <c r="S24" s="17"/>
      <c r="T24" s="12"/>
    </row>
    <row r="25" spans="1:20" ht="33" thickBot="1" x14ac:dyDescent="0.25">
      <c r="A25" s="2">
        <v>44774</v>
      </c>
      <c r="B25" s="5">
        <v>2.63E-2</v>
      </c>
      <c r="C25" s="5"/>
      <c r="E25" s="2">
        <v>44805</v>
      </c>
      <c r="F25">
        <v>136.0523681640625</v>
      </c>
      <c r="G25" s="5">
        <f t="shared" si="0"/>
        <v>-0.12894397433786495</v>
      </c>
      <c r="H25" s="6">
        <f t="shared" si="1"/>
        <v>-0.16024397433786494</v>
      </c>
      <c r="I25" s="6"/>
      <c r="K25" s="2">
        <v>44805</v>
      </c>
      <c r="L25">
        <v>3585.6201171875</v>
      </c>
      <c r="M25" s="5">
        <f t="shared" si="2"/>
        <v>-9.804916662099257E-2</v>
      </c>
      <c r="N25" s="6">
        <f t="shared" si="3"/>
        <v>-0.12934916662099258</v>
      </c>
      <c r="P25" s="14" t="s">
        <v>34</v>
      </c>
      <c r="Q25" s="50"/>
      <c r="S25" s="17"/>
      <c r="T25" s="12"/>
    </row>
    <row r="26" spans="1:20" x14ac:dyDescent="0.2">
      <c r="A26" s="2">
        <v>44805</v>
      </c>
      <c r="B26" s="5">
        <v>3.1300000000000001E-2</v>
      </c>
      <c r="C26" s="5"/>
      <c r="E26" s="2">
        <v>44837</v>
      </c>
      <c r="F26">
        <v>150.95709228515631</v>
      </c>
      <c r="G26" s="5">
        <f t="shared" si="0"/>
        <v>0.10395576773337888</v>
      </c>
      <c r="H26" s="6">
        <f t="shared" si="1"/>
        <v>6.6755767733378879E-2</v>
      </c>
      <c r="I26" s="6"/>
      <c r="K26" s="2">
        <v>44837</v>
      </c>
      <c r="L26">
        <v>3871.97998046875</v>
      </c>
      <c r="M26" s="5">
        <f t="shared" si="2"/>
        <v>7.6834564468855629E-2</v>
      </c>
      <c r="N26" s="6">
        <f t="shared" si="3"/>
        <v>3.9634564468855625E-2</v>
      </c>
      <c r="P26" s="17" t="s">
        <v>17</v>
      </c>
      <c r="Q26" s="32">
        <v>0.05</v>
      </c>
      <c r="S26" s="23" t="s">
        <v>17</v>
      </c>
      <c r="T26" s="36">
        <v>0.05</v>
      </c>
    </row>
    <row r="27" spans="1:20" ht="16" thickBot="1" x14ac:dyDescent="0.25">
      <c r="A27" s="2">
        <v>44835</v>
      </c>
      <c r="B27" s="5">
        <v>3.7200000000000004E-2</v>
      </c>
      <c r="C27" s="5"/>
      <c r="E27" s="2">
        <v>44866</v>
      </c>
      <c r="F27">
        <v>145.97132873535159</v>
      </c>
      <c r="G27" s="5">
        <f t="shared" si="0"/>
        <v>-3.3585415484154502E-2</v>
      </c>
      <c r="H27" s="6">
        <f t="shared" si="1"/>
        <v>-7.5085415484154511E-2</v>
      </c>
      <c r="I27" s="6"/>
      <c r="K27" s="2">
        <v>44866</v>
      </c>
      <c r="L27">
        <v>4080.110107421875</v>
      </c>
      <c r="M27" s="5">
        <f t="shared" si="2"/>
        <v>5.2357976097649049E-2</v>
      </c>
      <c r="N27" s="6">
        <f t="shared" si="3"/>
        <v>1.0857976097649047E-2</v>
      </c>
      <c r="P27" s="15" t="s">
        <v>15</v>
      </c>
      <c r="Q27" s="35">
        <f>Q17+R4*Q26</f>
        <v>9.5689999999999997E-2</v>
      </c>
      <c r="S27" s="15" t="s">
        <v>15</v>
      </c>
      <c r="T27" s="35">
        <f>T17+R4*T26</f>
        <v>9.5700000000000007E-2</v>
      </c>
    </row>
    <row r="28" spans="1:20" ht="16" thickBot="1" x14ac:dyDescent="0.25">
      <c r="A28" s="2">
        <v>44866</v>
      </c>
      <c r="B28" s="5">
        <v>4.1500000000000002E-2</v>
      </c>
      <c r="C28" s="5"/>
      <c r="E28" s="2">
        <v>44896</v>
      </c>
      <c r="F28">
        <v>128.12303161621091</v>
      </c>
      <c r="G28" s="5">
        <f t="shared" si="0"/>
        <v>-0.13041923711932649</v>
      </c>
      <c r="H28" s="6">
        <f t="shared" si="1"/>
        <v>-0.1729192371193265</v>
      </c>
      <c r="I28" s="6"/>
      <c r="K28" s="2">
        <v>44896</v>
      </c>
      <c r="L28">
        <v>3839.5</v>
      </c>
      <c r="M28" s="5">
        <f t="shared" si="2"/>
        <v>-6.0781825376668173E-2</v>
      </c>
      <c r="N28" s="6">
        <f t="shared" si="3"/>
        <v>-0.10328182537666818</v>
      </c>
      <c r="P28" s="9"/>
      <c r="Q28" s="46"/>
      <c r="S28" s="17"/>
      <c r="T28" s="30"/>
    </row>
    <row r="29" spans="1:20" ht="33" thickBot="1" x14ac:dyDescent="0.25">
      <c r="A29" s="2">
        <v>44896</v>
      </c>
      <c r="B29" s="5">
        <v>4.2500000000000003E-2</v>
      </c>
      <c r="C29" s="5"/>
      <c r="E29" s="2">
        <v>44929</v>
      </c>
      <c r="F29">
        <v>142.2833557128906</v>
      </c>
      <c r="G29" s="5">
        <f t="shared" si="0"/>
        <v>0.10482954529763684</v>
      </c>
      <c r="H29" s="6">
        <f t="shared" si="1"/>
        <v>5.9429545297636839E-2</v>
      </c>
      <c r="I29" s="6"/>
      <c r="K29" s="2">
        <v>44929</v>
      </c>
      <c r="L29">
        <v>4076.60009765625</v>
      </c>
      <c r="M29" s="5">
        <f t="shared" si="2"/>
        <v>5.9921181834349677E-2</v>
      </c>
      <c r="N29" s="6">
        <f t="shared" si="3"/>
        <v>1.4521181834349674E-2</v>
      </c>
      <c r="P29" s="14" t="s">
        <v>35</v>
      </c>
      <c r="Q29" s="50"/>
      <c r="S29" s="17"/>
      <c r="T29" s="12"/>
    </row>
    <row r="30" spans="1:20" x14ac:dyDescent="0.2">
      <c r="A30" s="2">
        <v>44927</v>
      </c>
      <c r="B30" s="5">
        <v>4.5400000000000003E-2</v>
      </c>
      <c r="C30" s="5"/>
      <c r="E30" s="2">
        <v>44958</v>
      </c>
      <c r="F30">
        <v>145.5819091796875</v>
      </c>
      <c r="G30" s="5">
        <f t="shared" si="0"/>
        <v>2.2918345826518197E-2</v>
      </c>
      <c r="H30" s="6">
        <f t="shared" si="1"/>
        <v>-2.3581654173481809E-2</v>
      </c>
      <c r="I30" s="6"/>
      <c r="K30" s="2">
        <v>44958</v>
      </c>
      <c r="L30">
        <v>3970.14990234375</v>
      </c>
      <c r="M30" s="5">
        <f t="shared" si="2"/>
        <v>-2.6459478859793131E-2</v>
      </c>
      <c r="N30" s="6">
        <f t="shared" si="3"/>
        <v>-7.2959478859793134E-2</v>
      </c>
      <c r="P30" s="17" t="s">
        <v>18</v>
      </c>
      <c r="Q30" s="32">
        <v>0.2</v>
      </c>
      <c r="S30" s="21" t="s">
        <v>18</v>
      </c>
      <c r="T30" s="34">
        <v>0.2</v>
      </c>
    </row>
    <row r="31" spans="1:20" ht="16" thickBot="1" x14ac:dyDescent="0.25">
      <c r="A31" s="2">
        <v>44958</v>
      </c>
      <c r="B31" s="5">
        <v>4.6500000000000007E-2</v>
      </c>
      <c r="C31" s="5"/>
      <c r="E31" s="2">
        <v>44986</v>
      </c>
      <c r="F31">
        <v>162.85499572753909</v>
      </c>
      <c r="G31" s="5">
        <f t="shared" si="0"/>
        <v>0.11212133021378191</v>
      </c>
      <c r="H31" s="6">
        <f t="shared" si="1"/>
        <v>6.5221330213781903E-2</v>
      </c>
      <c r="I31" s="6"/>
      <c r="K31" s="2">
        <v>44986</v>
      </c>
      <c r="L31">
        <v>4109.31005859375</v>
      </c>
      <c r="M31" s="5">
        <f t="shared" si="2"/>
        <v>3.4451292698263587E-2</v>
      </c>
      <c r="N31" s="6">
        <f t="shared" si="3"/>
        <v>-1.2448707301736417E-2</v>
      </c>
      <c r="P31" s="15" t="s">
        <v>19</v>
      </c>
      <c r="Q31" s="35">
        <f>Q12*(1-Q30)</f>
        <v>4.0640000000000003E-2</v>
      </c>
      <c r="S31" s="15" t="s">
        <v>19</v>
      </c>
      <c r="T31" s="35">
        <f>Q12*(1-T30)</f>
        <v>4.0640000000000003E-2</v>
      </c>
    </row>
    <row r="32" spans="1:20" ht="16" thickBot="1" x14ac:dyDescent="0.25">
      <c r="A32" s="2">
        <v>44986</v>
      </c>
      <c r="B32" s="5">
        <v>4.6900000000000004E-2</v>
      </c>
      <c r="C32" s="5"/>
      <c r="E32" s="2">
        <v>45019</v>
      </c>
      <c r="F32">
        <v>167.57569885253909</v>
      </c>
      <c r="G32" s="5">
        <f t="shared" si="0"/>
        <v>2.8574974504782292E-2</v>
      </c>
      <c r="H32" s="6">
        <f t="shared" si="1"/>
        <v>-2.0625025495217709E-2</v>
      </c>
      <c r="I32" s="6"/>
      <c r="K32" s="2">
        <v>45019</v>
      </c>
      <c r="L32">
        <v>4169.47998046875</v>
      </c>
      <c r="M32" s="5">
        <f t="shared" si="2"/>
        <v>1.45361776495622E-2</v>
      </c>
      <c r="N32" s="6">
        <f t="shared" si="3"/>
        <v>-3.4663822350437801E-2</v>
      </c>
      <c r="P32" s="9"/>
      <c r="Q32" s="46"/>
      <c r="S32" s="17"/>
      <c r="T32" s="30"/>
    </row>
    <row r="33" spans="1:20" ht="16" thickBot="1" x14ac:dyDescent="0.25">
      <c r="A33" s="2">
        <v>45017</v>
      </c>
      <c r="B33" s="5">
        <v>4.9200000000000001E-2</v>
      </c>
      <c r="C33" s="5"/>
      <c r="E33" s="2">
        <v>45047</v>
      </c>
      <c r="F33">
        <v>175.2939758300781</v>
      </c>
      <c r="G33" s="5">
        <f t="shared" si="0"/>
        <v>4.5029243797909596E-2</v>
      </c>
      <c r="H33" s="6">
        <f t="shared" si="1"/>
        <v>-6.3707562020903982E-3</v>
      </c>
      <c r="I33" s="6"/>
      <c r="K33" s="2">
        <v>45047</v>
      </c>
      <c r="L33">
        <v>4179.830078125</v>
      </c>
      <c r="M33" s="5">
        <f t="shared" si="2"/>
        <v>2.4792714332724764E-3</v>
      </c>
      <c r="N33" s="6">
        <f t="shared" si="3"/>
        <v>-4.8920728566727516E-2</v>
      </c>
      <c r="P33" s="19" t="s">
        <v>36</v>
      </c>
      <c r="Q33" s="50"/>
      <c r="S33" s="17"/>
      <c r="T33" s="12"/>
    </row>
    <row r="34" spans="1:20" ht="16" thickBot="1" x14ac:dyDescent="0.25">
      <c r="A34" s="2">
        <v>45047</v>
      </c>
      <c r="B34" s="5">
        <v>5.1399999999999994E-2</v>
      </c>
      <c r="C34" s="5"/>
      <c r="E34" s="2">
        <v>45078</v>
      </c>
      <c r="F34">
        <v>191.8294677734375</v>
      </c>
      <c r="G34" s="5">
        <f t="shared" si="0"/>
        <v>9.0142362254626865E-2</v>
      </c>
      <c r="H34" s="6">
        <f t="shared" si="1"/>
        <v>3.8542362254626865E-2</v>
      </c>
      <c r="I34" s="6"/>
      <c r="K34" s="2">
        <v>45078</v>
      </c>
      <c r="L34">
        <v>4450.3798828125</v>
      </c>
      <c r="M34" s="5">
        <f t="shared" si="2"/>
        <v>6.271886491464175E-2</v>
      </c>
      <c r="N34" s="6">
        <f t="shared" si="3"/>
        <v>1.111886491464175E-2</v>
      </c>
      <c r="P34" s="24" t="s">
        <v>21</v>
      </c>
      <c r="Q34" s="54">
        <f>Q23*Q27+Q22*Q31</f>
        <v>5.9805647790975608E-2</v>
      </c>
      <c r="S34" s="24" t="s">
        <v>21</v>
      </c>
      <c r="T34" s="54">
        <f>T23*T27+T22*T31</f>
        <v>6.410423867820049E-2</v>
      </c>
    </row>
    <row r="35" spans="1:20" x14ac:dyDescent="0.2">
      <c r="A35" s="2">
        <v>45078</v>
      </c>
      <c r="B35" s="5">
        <v>5.16E-2</v>
      </c>
      <c r="C35" s="5"/>
      <c r="E35" s="2">
        <v>45110</v>
      </c>
      <c r="F35">
        <v>194.28208923339841</v>
      </c>
      <c r="G35" s="5">
        <f t="shared" si="0"/>
        <v>1.2704382468717466E-2</v>
      </c>
      <c r="H35" s="6">
        <f t="shared" si="1"/>
        <v>-3.979561753128253E-2</v>
      </c>
      <c r="I35" s="6"/>
      <c r="K35" s="2">
        <v>45110</v>
      </c>
      <c r="L35">
        <v>4588.9599609375</v>
      </c>
      <c r="M35" s="5">
        <f t="shared" si="2"/>
        <v>3.0663950907703911E-2</v>
      </c>
      <c r="N35" s="6">
        <f t="shared" si="3"/>
        <v>-2.1836049092296087E-2</v>
      </c>
      <c r="P35" s="9"/>
      <c r="S35" s="56"/>
      <c r="T35" s="31"/>
    </row>
    <row r="36" spans="1:20" ht="16" thickBot="1" x14ac:dyDescent="0.25">
      <c r="A36" s="2">
        <v>45108</v>
      </c>
      <c r="B36" s="5">
        <v>5.2499999999999998E-2</v>
      </c>
      <c r="C36" s="5"/>
      <c r="E36" s="2">
        <v>45139</v>
      </c>
      <c r="F36">
        <v>186.04768371582031</v>
      </c>
      <c r="G36" s="5">
        <f t="shared" si="0"/>
        <v>-4.3308166222106863E-2</v>
      </c>
      <c r="H36" s="6">
        <f t="shared" si="1"/>
        <v>-9.6308166222106861E-2</v>
      </c>
      <c r="I36" s="6"/>
      <c r="K36" s="2">
        <v>45139</v>
      </c>
      <c r="L36">
        <v>4507.66015625</v>
      </c>
      <c r="M36" s="5">
        <f t="shared" si="2"/>
        <v>-1.7875203842993896E-2</v>
      </c>
      <c r="N36" s="6">
        <f t="shared" si="3"/>
        <v>-7.0875203842993895E-2</v>
      </c>
      <c r="P36" s="9"/>
      <c r="S36" s="56"/>
      <c r="T36" s="31"/>
    </row>
    <row r="37" spans="1:20" ht="65" thickBot="1" x14ac:dyDescent="0.25">
      <c r="A37" s="2">
        <v>45139</v>
      </c>
      <c r="B37" s="5">
        <v>5.2999999999999999E-2</v>
      </c>
      <c r="C37" s="5"/>
      <c r="E37" s="2">
        <v>45170</v>
      </c>
      <c r="F37">
        <v>169.5492858886719</v>
      </c>
      <c r="G37" s="5">
        <f t="shared" si="0"/>
        <v>-9.285934816208552E-2</v>
      </c>
      <c r="H37" s="6">
        <f t="shared" si="1"/>
        <v>-0.14605934816208552</v>
      </c>
      <c r="I37" s="6"/>
      <c r="K37" s="2">
        <v>45170</v>
      </c>
      <c r="L37">
        <v>4288.0498046875</v>
      </c>
      <c r="M37" s="5">
        <f t="shared" si="2"/>
        <v>-4.9946167923282069E-2</v>
      </c>
      <c r="N37" s="6">
        <f t="shared" si="3"/>
        <v>-0.10314616792328207</v>
      </c>
      <c r="P37" s="14" t="s">
        <v>38</v>
      </c>
      <c r="Q37" s="57"/>
      <c r="R37" s="59"/>
      <c r="S37" s="58"/>
      <c r="T37" s="31"/>
    </row>
    <row r="38" spans="1:20" ht="16" thickBot="1" x14ac:dyDescent="0.25">
      <c r="A38" s="2">
        <v>45170</v>
      </c>
      <c r="B38" s="5">
        <v>5.3200000000000004E-2</v>
      </c>
      <c r="C38" s="5"/>
      <c r="E38" s="2">
        <v>45201</v>
      </c>
      <c r="F38">
        <v>169.113525390625</v>
      </c>
      <c r="G38" s="5">
        <f t="shared" si="0"/>
        <v>-2.5734194840329586E-3</v>
      </c>
      <c r="H38" s="6">
        <f t="shared" si="1"/>
        <v>-5.5973419484032956E-2</v>
      </c>
      <c r="I38" s="6"/>
      <c r="K38" s="2">
        <v>45201</v>
      </c>
      <c r="L38">
        <v>4193.7998046875</v>
      </c>
      <c r="M38" s="5">
        <f t="shared" si="2"/>
        <v>-2.2224841001403373E-2</v>
      </c>
      <c r="N38" s="6">
        <f t="shared" si="3"/>
        <v>-7.5624841001403376E-2</v>
      </c>
      <c r="P38" s="24" t="s">
        <v>22</v>
      </c>
      <c r="Q38" s="41">
        <f>Q16*(1+20%)</f>
        <v>127954800000</v>
      </c>
      <c r="R38" s="24" t="s">
        <v>23</v>
      </c>
      <c r="S38" s="28">
        <f>Q16*(1-20%)</f>
        <v>85303200000</v>
      </c>
      <c r="T38" s="31"/>
    </row>
    <row r="39" spans="1:20" x14ac:dyDescent="0.2">
      <c r="A39" s="2">
        <v>45200</v>
      </c>
      <c r="B39" s="5">
        <v>5.3399999999999996E-2</v>
      </c>
      <c r="C39" s="5"/>
      <c r="E39" s="2">
        <v>45231</v>
      </c>
      <c r="F39">
        <v>188.3553161621094</v>
      </c>
      <c r="G39" s="5">
        <f t="shared" si="0"/>
        <v>0.10775992137640394</v>
      </c>
      <c r="H39" s="6">
        <f t="shared" si="1"/>
        <v>5.5059921376403947E-2</v>
      </c>
      <c r="I39" s="6"/>
      <c r="K39" s="2">
        <v>45231</v>
      </c>
      <c r="L39">
        <v>4567.7998046875</v>
      </c>
      <c r="M39" s="5">
        <f t="shared" si="2"/>
        <v>8.54244482007529E-2</v>
      </c>
      <c r="N39" s="6">
        <f t="shared" si="3"/>
        <v>3.2724448200752904E-2</v>
      </c>
      <c r="P39" s="17"/>
      <c r="Q39" s="11"/>
      <c r="R39" s="17"/>
      <c r="S39" s="12"/>
    </row>
    <row r="40" spans="1:20" x14ac:dyDescent="0.2">
      <c r="A40" s="2">
        <v>45231</v>
      </c>
      <c r="B40" s="5">
        <v>5.2699999999999997E-2</v>
      </c>
      <c r="C40" s="5"/>
      <c r="E40" s="2">
        <v>45261</v>
      </c>
      <c r="F40">
        <v>190.9136657714844</v>
      </c>
      <c r="G40" s="5">
        <f t="shared" si="0"/>
        <v>1.3491155539555067E-2</v>
      </c>
      <c r="H40" s="6">
        <f t="shared" si="1"/>
        <v>-3.8908844460444937E-2</v>
      </c>
      <c r="I40" s="6"/>
      <c r="K40" s="2">
        <v>45261</v>
      </c>
      <c r="L40">
        <v>4769.830078125</v>
      </c>
      <c r="M40" s="5">
        <f t="shared" si="2"/>
        <v>4.3279035431608333E-2</v>
      </c>
      <c r="N40" s="6">
        <f t="shared" si="3"/>
        <v>-9.1209645683916693E-3</v>
      </c>
      <c r="P40" s="17" t="s">
        <v>13</v>
      </c>
      <c r="Q40" s="11">
        <f>Q38/(Q20+Q38)</f>
        <v>0.69200366891503085</v>
      </c>
      <c r="R40" s="17" t="s">
        <v>13</v>
      </c>
      <c r="S40" s="11">
        <f>S38/(S38+Q20)</f>
        <v>0.59965751209814611</v>
      </c>
    </row>
    <row r="41" spans="1:20" x14ac:dyDescent="0.2">
      <c r="A41" s="2">
        <v>45261</v>
      </c>
      <c r="B41" s="5">
        <v>5.2400000000000002E-2</v>
      </c>
      <c r="C41" s="5"/>
      <c r="E41" s="2">
        <v>45293</v>
      </c>
      <c r="F41">
        <v>182.85191345214841</v>
      </c>
      <c r="G41" s="5">
        <f t="shared" si="0"/>
        <v>-4.3144705050093761E-2</v>
      </c>
      <c r="H41" s="6">
        <f t="shared" si="1"/>
        <v>-9.5344705050093764E-2</v>
      </c>
      <c r="I41" s="6"/>
      <c r="K41" s="2">
        <v>45293</v>
      </c>
      <c r="L41">
        <v>4845.64990234375</v>
      </c>
      <c r="M41" s="5">
        <f t="shared" si="2"/>
        <v>1.5770693886425723E-2</v>
      </c>
      <c r="N41" s="6">
        <f t="shared" si="3"/>
        <v>-3.642930611357427E-2</v>
      </c>
      <c r="P41" s="17" t="s">
        <v>14</v>
      </c>
      <c r="Q41" s="11">
        <f>1-Q40</f>
        <v>0.30799633108496915</v>
      </c>
      <c r="R41" s="17" t="s">
        <v>14</v>
      </c>
      <c r="S41" s="11">
        <f>1-S40</f>
        <v>0.40034248790185389</v>
      </c>
    </row>
    <row r="42" spans="1:20" x14ac:dyDescent="0.2">
      <c r="A42" s="2">
        <v>45292</v>
      </c>
      <c r="B42" s="5">
        <v>5.2199999999999996E-2</v>
      </c>
      <c r="C42" s="5"/>
      <c r="E42" s="2">
        <v>45323</v>
      </c>
      <c r="F42">
        <v>179.46125793457031</v>
      </c>
      <c r="G42" s="5">
        <f t="shared" si="0"/>
        <v>-1.8717257741449077E-2</v>
      </c>
      <c r="H42" s="6">
        <f t="shared" si="1"/>
        <v>-7.1117257741449086E-2</v>
      </c>
      <c r="I42" s="6"/>
      <c r="K42" s="2">
        <v>45323</v>
      </c>
      <c r="L42">
        <v>5096.27001953125</v>
      </c>
      <c r="M42" s="5">
        <f t="shared" si="2"/>
        <v>5.0427528312771974E-2</v>
      </c>
      <c r="N42" s="6">
        <f t="shared" si="3"/>
        <v>-1.9724716872280279E-3</v>
      </c>
      <c r="P42" s="17"/>
      <c r="Q42" s="12"/>
      <c r="R42" s="17"/>
      <c r="S42" s="12"/>
    </row>
    <row r="43" spans="1:20" x14ac:dyDescent="0.2">
      <c r="A43" s="2">
        <v>45323</v>
      </c>
      <c r="B43" s="5">
        <v>5.2400000000000002E-2</v>
      </c>
      <c r="C43" s="5"/>
      <c r="E43" s="2">
        <v>45352</v>
      </c>
      <c r="F43">
        <v>170.25733947753909</v>
      </c>
      <c r="G43" s="5">
        <f t="shared" si="0"/>
        <v>-5.2648297298755586E-2</v>
      </c>
      <c r="H43" s="6">
        <f t="shared" si="1"/>
        <v>-0.10504829729875559</v>
      </c>
      <c r="I43" s="6"/>
      <c r="K43" s="2">
        <v>45352</v>
      </c>
      <c r="L43">
        <v>5254.35009765625</v>
      </c>
      <c r="M43" s="5">
        <f t="shared" si="2"/>
        <v>3.054742011174303E-2</v>
      </c>
      <c r="N43" s="6">
        <f t="shared" si="3"/>
        <v>-2.1852579888256972E-2</v>
      </c>
      <c r="P43" s="17" t="s">
        <v>17</v>
      </c>
      <c r="Q43" s="32">
        <v>0.05</v>
      </c>
      <c r="R43" s="17" t="s">
        <v>17</v>
      </c>
      <c r="S43" s="32">
        <v>0.05</v>
      </c>
    </row>
    <row r="44" spans="1:20" x14ac:dyDescent="0.2">
      <c r="A44" s="2">
        <v>45352</v>
      </c>
      <c r="B44" s="5">
        <v>5.2400000000000002E-2</v>
      </c>
      <c r="C44" s="5"/>
      <c r="E44" s="2">
        <v>45383</v>
      </c>
      <c r="F44">
        <v>169.11553955078131</v>
      </c>
      <c r="G44" s="5">
        <f t="shared" si="0"/>
        <v>-6.7289067897404386E-3</v>
      </c>
      <c r="H44" s="6">
        <f t="shared" si="1"/>
        <v>-5.9128906789740442E-2</v>
      </c>
      <c r="I44" s="6"/>
      <c r="K44" s="2">
        <v>45383</v>
      </c>
      <c r="L44">
        <v>5035.68994140625</v>
      </c>
      <c r="M44" s="5">
        <f t="shared" si="2"/>
        <v>-4.2505777681478583E-2</v>
      </c>
      <c r="N44" s="6">
        <f t="shared" si="3"/>
        <v>-9.4905777681478593E-2</v>
      </c>
      <c r="P44" s="17" t="s">
        <v>15</v>
      </c>
      <c r="Q44" s="33">
        <f>Q17+R4*Q43</f>
        <v>9.5689999999999997E-2</v>
      </c>
      <c r="R44" s="17" t="s">
        <v>15</v>
      </c>
      <c r="S44" s="33">
        <f>Q17+R4*S43</f>
        <v>9.5689999999999997E-2</v>
      </c>
    </row>
    <row r="45" spans="1:20" x14ac:dyDescent="0.2">
      <c r="A45" s="2">
        <v>45383</v>
      </c>
      <c r="B45" s="5">
        <v>5.2400000000000002E-2</v>
      </c>
      <c r="C45" s="5"/>
      <c r="E45" s="2">
        <v>45413</v>
      </c>
      <c r="F45">
        <v>191.1381530761719</v>
      </c>
      <c r="G45" s="5">
        <f t="shared" si="0"/>
        <v>0.12241433380477527</v>
      </c>
      <c r="H45" s="6">
        <f t="shared" si="1"/>
        <v>6.9914333804775269E-2</v>
      </c>
      <c r="I45" s="6"/>
      <c r="K45" s="2">
        <v>45413</v>
      </c>
      <c r="L45">
        <v>5277.509765625</v>
      </c>
      <c r="M45" s="5">
        <f t="shared" si="2"/>
        <v>4.6903805304359669E-2</v>
      </c>
      <c r="N45" s="6">
        <f t="shared" si="3"/>
        <v>-5.5961946956403288E-3</v>
      </c>
      <c r="P45" s="17"/>
      <c r="Q45" s="12"/>
      <c r="R45" s="17"/>
      <c r="S45" s="12"/>
    </row>
    <row r="46" spans="1:20" x14ac:dyDescent="0.2">
      <c r="A46" s="2">
        <v>45413</v>
      </c>
      <c r="B46" s="5">
        <v>5.2499999999999998E-2</v>
      </c>
      <c r="C46" s="5"/>
      <c r="E46" s="2">
        <v>45446</v>
      </c>
      <c r="F46">
        <v>209.40193176269531</v>
      </c>
      <c r="G46" s="5">
        <f t="shared" si="0"/>
        <v>9.1259042505978799E-2</v>
      </c>
      <c r="H46" s="6">
        <f t="shared" si="1"/>
        <v>3.8859042505978797E-2</v>
      </c>
      <c r="I46" s="6"/>
      <c r="K46" s="2">
        <v>45446</v>
      </c>
      <c r="L46">
        <v>5460.47998046875</v>
      </c>
      <c r="M46" s="5">
        <f t="shared" si="2"/>
        <v>3.4082343238882262E-2</v>
      </c>
      <c r="N46" s="6">
        <f t="shared" si="3"/>
        <v>-1.831765676111774E-2</v>
      </c>
      <c r="P46" s="17" t="s">
        <v>18</v>
      </c>
      <c r="Q46" s="32">
        <v>0.2</v>
      </c>
      <c r="R46" s="17" t="s">
        <v>18</v>
      </c>
      <c r="S46" s="32">
        <v>0.2</v>
      </c>
    </row>
    <row r="47" spans="1:20" x14ac:dyDescent="0.2">
      <c r="A47" s="2">
        <v>45444</v>
      </c>
      <c r="B47" s="5">
        <v>5.2400000000000002E-2</v>
      </c>
      <c r="C47" s="5"/>
      <c r="E47" s="2">
        <v>45474</v>
      </c>
      <c r="F47">
        <v>220.795654296875</v>
      </c>
      <c r="G47" s="5">
        <f t="shared" si="0"/>
        <v>5.2982108961126921E-2</v>
      </c>
      <c r="H47" s="6">
        <f t="shared" si="1"/>
        <v>9.8210896112691654E-4</v>
      </c>
      <c r="I47" s="6"/>
      <c r="K47" s="2">
        <v>45474</v>
      </c>
      <c r="L47">
        <v>5522.2998046875</v>
      </c>
      <c r="M47" s="5">
        <f t="shared" si="2"/>
        <v>1.1257710402409889E-2</v>
      </c>
      <c r="N47" s="6">
        <f t="shared" si="3"/>
        <v>-4.0742289597590117E-2</v>
      </c>
      <c r="P47" s="17" t="s">
        <v>19</v>
      </c>
      <c r="Q47" s="33">
        <f>Q12*(1-Q46)</f>
        <v>4.0640000000000003E-2</v>
      </c>
      <c r="R47" s="17" t="s">
        <v>19</v>
      </c>
      <c r="S47" s="33">
        <f>Q12*(1-S46)</f>
        <v>4.0640000000000003E-2</v>
      </c>
    </row>
    <row r="48" spans="1:20" ht="16" thickBot="1" x14ac:dyDescent="0.25">
      <c r="A48" s="2">
        <v>45474</v>
      </c>
      <c r="B48" s="5">
        <v>5.2000000000000005E-2</v>
      </c>
      <c r="C48" s="5"/>
      <c r="E48" s="2">
        <v>45505</v>
      </c>
      <c r="F48">
        <v>227.93916320800781</v>
      </c>
      <c r="G48" s="5">
        <f t="shared" si="0"/>
        <v>3.1841132731670919E-2</v>
      </c>
      <c r="H48" s="6">
        <f t="shared" si="1"/>
        <v>-1.8658867268329077E-2</v>
      </c>
      <c r="I48" s="6"/>
      <c r="K48" s="2">
        <v>45505</v>
      </c>
      <c r="L48">
        <v>5648.39990234375</v>
      </c>
      <c r="M48" s="5">
        <f t="shared" si="2"/>
        <v>2.2577897117514727E-2</v>
      </c>
      <c r="N48" s="6">
        <f t="shared" si="3"/>
        <v>-2.792210288248527E-2</v>
      </c>
      <c r="P48" s="17"/>
      <c r="Q48" s="12"/>
      <c r="R48" s="17"/>
      <c r="S48" s="12"/>
    </row>
    <row r="49" spans="1:20" ht="16" thickBot="1" x14ac:dyDescent="0.25">
      <c r="A49" s="2">
        <v>45505</v>
      </c>
      <c r="B49" s="5">
        <v>5.0499999999999996E-2</v>
      </c>
      <c r="C49" s="5"/>
      <c r="E49" s="2">
        <v>45538</v>
      </c>
      <c r="F49">
        <v>231.92063903808591</v>
      </c>
      <c r="G49" s="5">
        <f t="shared" si="0"/>
        <v>1.7316474719805096E-2</v>
      </c>
      <c r="H49" s="6">
        <f t="shared" si="1"/>
        <v>-2.9883525280194903E-2</v>
      </c>
      <c r="I49" s="6"/>
      <c r="K49" s="2">
        <v>45538</v>
      </c>
      <c r="L49">
        <v>5762.47998046875</v>
      </c>
      <c r="M49" s="5">
        <f t="shared" si="2"/>
        <v>1.9995632287754545E-2</v>
      </c>
      <c r="N49" s="6">
        <f t="shared" si="3"/>
        <v>-2.7204367712245454E-2</v>
      </c>
      <c r="P49" s="24" t="s">
        <v>21</v>
      </c>
      <c r="Q49" s="54">
        <f>Q41*Q44+Q40*Q47</f>
        <v>5.7595198026227548E-2</v>
      </c>
      <c r="R49" s="24" t="s">
        <v>21</v>
      </c>
      <c r="S49" s="54">
        <f>S41*S44+S40*S47</f>
        <v>6.2678853958997055E-2</v>
      </c>
    </row>
    <row r="50" spans="1:20" x14ac:dyDescent="0.2">
      <c r="A50" s="2">
        <v>45536</v>
      </c>
      <c r="B50" s="5">
        <v>4.7199999999999999E-2</v>
      </c>
      <c r="C50" s="5"/>
      <c r="E50" s="2">
        <v>45566</v>
      </c>
      <c r="F50">
        <v>224.86347961425781</v>
      </c>
      <c r="G50" s="5">
        <f t="shared" si="0"/>
        <v>-3.0901779251489996E-2</v>
      </c>
      <c r="H50" s="6">
        <f t="shared" si="1"/>
        <v>-7.6001779251490001E-2</v>
      </c>
      <c r="I50" s="6"/>
      <c r="K50" s="2">
        <v>45566</v>
      </c>
      <c r="L50">
        <v>5705.4501953125</v>
      </c>
      <c r="M50" s="5">
        <f t="shared" si="2"/>
        <v>-9.9460415985501774E-3</v>
      </c>
      <c r="N50" s="6">
        <f t="shared" si="3"/>
        <v>-5.5046041598550179E-2</v>
      </c>
      <c r="P50" s="9"/>
      <c r="Q50" s="5"/>
    </row>
    <row r="51" spans="1:20" ht="16" thickBot="1" x14ac:dyDescent="0.25">
      <c r="A51" s="2">
        <v>45566</v>
      </c>
      <c r="B51" s="5">
        <v>4.5100000000000001E-2</v>
      </c>
      <c r="C51" s="5"/>
      <c r="E51" s="2">
        <v>45597</v>
      </c>
      <c r="F51">
        <v>236.490478515625</v>
      </c>
      <c r="G51" s="5">
        <f t="shared" si="0"/>
        <v>5.0414486362549013E-2</v>
      </c>
      <c r="H51" s="6">
        <f t="shared" si="1"/>
        <v>6.2144863625490168E-3</v>
      </c>
      <c r="I51" s="6"/>
      <c r="K51" s="2">
        <v>45597</v>
      </c>
      <c r="L51">
        <v>6032.3798828125</v>
      </c>
      <c r="M51" s="5">
        <f t="shared" si="2"/>
        <v>5.5719714029497269E-2</v>
      </c>
      <c r="N51" s="6">
        <f t="shared" si="3"/>
        <v>1.1519714029497273E-2</v>
      </c>
      <c r="S51" s="9"/>
      <c r="T51" s="31"/>
    </row>
    <row r="52" spans="1:20" ht="16" thickBot="1" x14ac:dyDescent="0.25">
      <c r="A52" s="2">
        <v>45597</v>
      </c>
      <c r="B52" s="5">
        <v>4.4199999999999996E-2</v>
      </c>
      <c r="C52" s="5"/>
      <c r="E52" s="2">
        <v>45628</v>
      </c>
      <c r="F52">
        <v>249.5341796875</v>
      </c>
      <c r="G52" s="5">
        <f t="shared" si="0"/>
        <v>5.36879513990789E-2</v>
      </c>
      <c r="H52" s="6">
        <f t="shared" si="1"/>
        <v>1.0987951399078905E-2</v>
      </c>
      <c r="I52" s="6"/>
      <c r="K52" s="2">
        <v>45628</v>
      </c>
      <c r="L52">
        <v>5881.6298828125</v>
      </c>
      <c r="M52" s="5">
        <f t="shared" si="2"/>
        <v>-2.5307692187745621E-2</v>
      </c>
      <c r="N52" s="6">
        <f t="shared" si="3"/>
        <v>-6.8007692187745619E-2</v>
      </c>
      <c r="P52" s="25" t="s">
        <v>24</v>
      </c>
      <c r="Q52" s="55"/>
      <c r="R52" s="27" t="s">
        <v>26</v>
      </c>
      <c r="T52" s="6"/>
    </row>
    <row r="53" spans="1:20" x14ac:dyDescent="0.2">
      <c r="A53" s="2">
        <v>45627</v>
      </c>
      <c r="B53" s="5">
        <v>4.2699999999999995E-2</v>
      </c>
      <c r="C53" s="5"/>
      <c r="E53" s="2">
        <v>45659</v>
      </c>
      <c r="F53">
        <v>235.1651916503906</v>
      </c>
      <c r="G53" s="5">
        <f t="shared" si="0"/>
        <v>-5.9307688155931827E-2</v>
      </c>
      <c r="H53" s="6">
        <f t="shared" si="1"/>
        <v>-0.10140768815593182</v>
      </c>
      <c r="I53" s="6"/>
      <c r="K53" s="2">
        <v>45659</v>
      </c>
      <c r="L53">
        <v>6040.52978515625</v>
      </c>
      <c r="M53" s="5">
        <f t="shared" si="2"/>
        <v>2.665780641966916E-2</v>
      </c>
      <c r="N53" s="6">
        <f t="shared" si="3"/>
        <v>-1.5442193580330839E-2</v>
      </c>
      <c r="P53" s="17" t="s">
        <v>25</v>
      </c>
      <c r="Q53" s="33">
        <f>S49</f>
        <v>6.2678853958997055E-2</v>
      </c>
      <c r="R53" s="42">
        <f>(Q53-Q54)/Q54</f>
        <v>4.804238853934796E-2</v>
      </c>
      <c r="S53" s="6"/>
    </row>
    <row r="54" spans="1:20" x14ac:dyDescent="0.2">
      <c r="A54" s="2">
        <v>45658</v>
      </c>
      <c r="B54" s="5">
        <v>4.2099999999999999E-2</v>
      </c>
      <c r="C54" s="5"/>
      <c r="E54" s="2">
        <v>45691</v>
      </c>
      <c r="F54">
        <v>241.2494812011719</v>
      </c>
      <c r="G54" s="5">
        <f t="shared" si="0"/>
        <v>2.554337936685486E-2</v>
      </c>
      <c r="H54" s="6">
        <f t="shared" si="1"/>
        <v>-1.6656620633145134E-2</v>
      </c>
      <c r="I54" s="6"/>
      <c r="K54" s="2">
        <v>45691</v>
      </c>
      <c r="L54">
        <v>5954.5</v>
      </c>
      <c r="M54" s="5">
        <f t="shared" si="2"/>
        <v>-1.4344484648483261E-2</v>
      </c>
      <c r="N54" s="6">
        <f t="shared" si="3"/>
        <v>-5.6544484648483259E-2</v>
      </c>
      <c r="P54" s="17" t="s">
        <v>26</v>
      </c>
      <c r="Q54" s="33">
        <f>Q34</f>
        <v>5.9805647790975608E-2</v>
      </c>
      <c r="R54" s="18">
        <v>0</v>
      </c>
      <c r="S54" s="6"/>
    </row>
    <row r="55" spans="1:20" ht="16" thickBot="1" x14ac:dyDescent="0.25">
      <c r="A55" s="2">
        <v>45689</v>
      </c>
      <c r="B55" s="5">
        <v>4.2199999999999994E-2</v>
      </c>
      <c r="C55" s="5"/>
      <c r="E55" s="2">
        <v>45719</v>
      </c>
      <c r="F55">
        <v>221.5876159667969</v>
      </c>
      <c r="G55" s="5">
        <f t="shared" si="0"/>
        <v>-8.5013521070162357E-2</v>
      </c>
      <c r="H55" s="6">
        <f t="shared" si="1"/>
        <v>-0.12701352107016237</v>
      </c>
      <c r="I55" s="6"/>
      <c r="K55" s="2">
        <v>45719</v>
      </c>
      <c r="L55">
        <v>5611.85009765625</v>
      </c>
      <c r="M55" s="5">
        <f t="shared" si="2"/>
        <v>-5.9266785380176656E-2</v>
      </c>
      <c r="N55" s="6">
        <f t="shared" si="3"/>
        <v>-0.10126678538017667</v>
      </c>
      <c r="P55" s="22" t="s">
        <v>27</v>
      </c>
      <c r="Q55" s="40">
        <f>Q49</f>
        <v>5.7595198026227548E-2</v>
      </c>
      <c r="R55" s="43">
        <f>(Q55-Q54)/Q54</f>
        <v>-3.6960552161791088E-2</v>
      </c>
    </row>
    <row r="56" spans="1:20" x14ac:dyDescent="0.2">
      <c r="A56" s="2">
        <v>45717</v>
      </c>
      <c r="B56" s="5">
        <v>4.2000000000000003E-2</v>
      </c>
      <c r="C56" s="5"/>
      <c r="E56" s="2">
        <v>45748</v>
      </c>
      <c r="F56">
        <v>211.98112487792969</v>
      </c>
      <c r="G56" s="5">
        <f t="shared" si="0"/>
        <v>-4.4320831571541611E-2</v>
      </c>
      <c r="H56" s="6">
        <f t="shared" si="1"/>
        <v>-8.6420831571541609E-2</v>
      </c>
      <c r="I56" s="6"/>
      <c r="K56" s="2">
        <v>45748</v>
      </c>
      <c r="L56">
        <v>5569.06005859375</v>
      </c>
      <c r="M56" s="5">
        <f t="shared" si="2"/>
        <v>-7.6541618478473119E-3</v>
      </c>
      <c r="N56" s="6">
        <f t="shared" si="3"/>
        <v>-4.9754161847847311E-2</v>
      </c>
    </row>
    <row r="57" spans="1:20" x14ac:dyDescent="0.2">
      <c r="A57" s="2">
        <v>45748</v>
      </c>
      <c r="B57" s="5">
        <v>4.2099999999999999E-2</v>
      </c>
      <c r="C57" s="5"/>
      <c r="E57" s="2">
        <v>45778</v>
      </c>
      <c r="F57">
        <v>200.622314453125</v>
      </c>
      <c r="G57" s="5">
        <f t="shared" si="0"/>
        <v>-5.5073129222353891E-2</v>
      </c>
      <c r="H57" s="6">
        <f t="shared" si="1"/>
        <v>-9.7573129222353894E-2</v>
      </c>
      <c r="I57" s="6"/>
      <c r="K57" s="2">
        <v>45778</v>
      </c>
      <c r="L57">
        <v>5911.68994140625</v>
      </c>
      <c r="M57" s="5">
        <f t="shared" si="2"/>
        <v>5.9705447637753428E-2</v>
      </c>
      <c r="N57" s="6">
        <f t="shared" si="3"/>
        <v>1.7205447637753425E-2</v>
      </c>
    </row>
    <row r="58" spans="1:20" x14ac:dyDescent="0.2">
      <c r="A58" s="2">
        <v>45778</v>
      </c>
      <c r="B58" s="5">
        <v>4.2500000000000003E-2</v>
      </c>
      <c r="C58" s="5"/>
      <c r="E58" s="2">
        <v>45810</v>
      </c>
      <c r="F58">
        <v>204.9374084472656</v>
      </c>
      <c r="G58" s="5">
        <f t="shared" si="0"/>
        <v>2.1280499978601614E-2</v>
      </c>
      <c r="H58" s="6">
        <f t="shared" si="1"/>
        <v>-2.101950002139839E-2</v>
      </c>
      <c r="I58" s="6"/>
      <c r="K58" s="2">
        <v>45810</v>
      </c>
      <c r="L58">
        <v>6204.9501953125</v>
      </c>
      <c r="M58" s="5">
        <f t="shared" si="2"/>
        <v>4.8415655447618985E-2</v>
      </c>
      <c r="N58" s="6">
        <f t="shared" si="3"/>
        <v>6.1156554476189812E-3</v>
      </c>
    </row>
    <row r="59" spans="1:20" x14ac:dyDescent="0.2">
      <c r="A59" s="2">
        <v>45809</v>
      </c>
      <c r="B59" s="5">
        <v>4.2300000000000004E-2</v>
      </c>
      <c r="C59" s="5"/>
      <c r="E59" s="2">
        <v>45839</v>
      </c>
      <c r="F59">
        <v>207.33470153808591</v>
      </c>
      <c r="G59" s="5">
        <f t="shared" si="0"/>
        <v>1.162979523772506E-2</v>
      </c>
      <c r="H59" s="6">
        <f t="shared" si="1"/>
        <v>-3.0870204762274943E-2</v>
      </c>
      <c r="I59" s="6"/>
      <c r="K59" s="2">
        <v>45839</v>
      </c>
      <c r="L59">
        <v>6339.39013671875</v>
      </c>
      <c r="M59" s="5">
        <f t="shared" si="2"/>
        <v>2.1435178792465086E-2</v>
      </c>
      <c r="N59" s="6">
        <f t="shared" si="3"/>
        <v>-2.1064821207534917E-2</v>
      </c>
    </row>
    <row r="60" spans="1:20" x14ac:dyDescent="0.2">
      <c r="A60" s="2">
        <v>45839</v>
      </c>
      <c r="B60" s="5">
        <v>4.2500000000000003E-2</v>
      </c>
      <c r="C60" s="5"/>
      <c r="E60" s="2">
        <v>45870</v>
      </c>
      <c r="F60">
        <v>232.13999938964841</v>
      </c>
      <c r="G60" s="5">
        <f t="shared" si="0"/>
        <v>0.11300623220364912</v>
      </c>
      <c r="H60" s="6">
        <f t="shared" si="1"/>
        <v>7.1806232203649123E-2</v>
      </c>
      <c r="I60" s="6"/>
      <c r="K60" s="2">
        <v>45870</v>
      </c>
      <c r="L60">
        <v>6460.259765625</v>
      </c>
      <c r="M60" s="5">
        <f t="shared" si="2"/>
        <v>1.8886957507385716E-2</v>
      </c>
      <c r="N60" s="6">
        <f t="shared" si="3"/>
        <v>-2.2313042492614284E-2</v>
      </c>
    </row>
    <row r="61" spans="1:20" x14ac:dyDescent="0.2">
      <c r="A61" s="2">
        <v>45870</v>
      </c>
      <c r="B61" s="5">
        <v>4.1200000000000001E-2</v>
      </c>
      <c r="C61" s="5"/>
      <c r="E61" s="2">
        <v>45902</v>
      </c>
      <c r="F61">
        <v>254.6300048828125</v>
      </c>
      <c r="G61" s="5">
        <f t="shared" si="0"/>
        <v>9.2470894939710516E-2</v>
      </c>
      <c r="H61" s="6">
        <f t="shared" si="1"/>
        <v>5.3270894939710517E-2</v>
      </c>
      <c r="I61" s="6"/>
      <c r="K61" s="2">
        <v>45902</v>
      </c>
      <c r="L61">
        <v>6688.4599609375</v>
      </c>
      <c r="M61" s="5">
        <f t="shared" si="2"/>
        <v>3.4714119098081572E-2</v>
      </c>
      <c r="N61" s="6">
        <f t="shared" si="3"/>
        <v>-4.4858809019184265E-3</v>
      </c>
    </row>
    <row r="62" spans="1:20" x14ac:dyDescent="0.2">
      <c r="A62" s="2">
        <v>45901</v>
      </c>
      <c r="B62" s="5">
        <v>3.9199999999999999E-2</v>
      </c>
      <c r="C62" s="5"/>
      <c r="E62" s="2">
        <v>45931</v>
      </c>
      <c r="F62">
        <v>258.01998901367188</v>
      </c>
      <c r="G62" s="5">
        <f t="shared" si="0"/>
        <v>1.3225528466675273E-2</v>
      </c>
      <c r="H62" s="6">
        <f t="shared" si="1"/>
        <v>1.3225528466675273E-2</v>
      </c>
      <c r="I62" s="6"/>
      <c r="K62" s="2">
        <v>45931</v>
      </c>
      <c r="L62">
        <v>6715.7900390625</v>
      </c>
      <c r="M62" s="5">
        <f t="shared" si="2"/>
        <v>4.0778284494734796E-3</v>
      </c>
      <c r="N62" s="6">
        <f t="shared" si="3"/>
        <v>4.0778284494734796E-3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AAPL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 michel Douet</cp:lastModifiedBy>
  <dcterms:created xsi:type="dcterms:W3CDTF">2025-10-06T08:45:53Z</dcterms:created>
  <dcterms:modified xsi:type="dcterms:W3CDTF">2025-10-11T16:36:53Z</dcterms:modified>
</cp:coreProperties>
</file>