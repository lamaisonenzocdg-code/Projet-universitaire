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2edb4f1952b9c79/Bureau/M2 IREF/Finance Computationnel/"/>
    </mc:Choice>
  </mc:AlternateContent>
  <xr:revisionPtr revIDLastSave="31" documentId="13_ncr:1_{BA0B92E4-FFD9-4E4B-AA49-81A89C0DDB4B}" xr6:coauthVersionLast="47" xr6:coauthVersionMax="47" xr10:uidLastSave="{B8761F14-FA50-44D8-A30A-9C88E8C76E84}"/>
  <bookViews>
    <workbookView xWindow="-98" yWindow="-98" windowWidth="21795" windowHeight="12975" xr2:uid="{00000000-000D-0000-FFFF-FFFF00000000}"/>
  </bookViews>
  <sheets>
    <sheet name="Pricer_BS" sheetId="1" r:id="rId1"/>
    <sheet name="GREEK" sheetId="2" r:id="rId2"/>
  </sheets>
  <functionGroups builtInGroupCount="19"/>
  <definedNames>
    <definedName name="Dividend">Pricer_BS!$C$8</definedName>
    <definedName name="K">Pricer_BS!$C$4</definedName>
    <definedName name="Loi_Densite_D1">GREEK!$K$8</definedName>
    <definedName name="r_D1">Pricer_BS!$C$11</definedName>
    <definedName name="r_D2">Pricer_BS!$C$12</definedName>
    <definedName name="r_minusNd1">Pricer_BS!$C$14</definedName>
    <definedName name="r_minusNd2">Pricer_BS!$C$16</definedName>
    <definedName name="r_Nd1">Pricer_BS!$C$13</definedName>
    <definedName name="r_Nd2">Pricer_BS!$C$15</definedName>
    <definedName name="RiskFree">Pricer_BS!$C$7</definedName>
    <definedName name="rPayoff">OFFSET(Pricer_BS!$F$2,,,MAX(Pricer_BS!#REF!),3)</definedName>
    <definedName name="S0">Pricer_BS!$C$3</definedName>
    <definedName name="sigma">Pricer_BS!$C$6</definedName>
    <definedName name="T">Pricer_BS!$C$5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2" l="1"/>
  <c r="K6" i="2"/>
  <c r="K5" i="2"/>
  <c r="K4" i="2"/>
  <c r="K3" i="2"/>
  <c r="K2" i="2"/>
  <c r="D20" i="1" a="1"/>
  <c r="D19" i="1" a="1"/>
  <c r="D19" i="1" l="1"/>
  <c r="D20" i="1"/>
  <c r="C11" i="1"/>
  <c r="C12" i="1"/>
  <c r="C16" i="1" l="1"/>
  <c r="C15" i="1"/>
  <c r="S2" i="2" s="1"/>
  <c r="K8" i="2"/>
  <c r="C14" i="1"/>
  <c r="C13" i="1"/>
  <c r="F5" i="1"/>
  <c r="F6" i="1" s="1"/>
  <c r="F7" i="1" s="1"/>
  <c r="F8" i="1" s="1"/>
  <c r="F9" i="1" s="1"/>
  <c r="F10" i="1" s="1"/>
  <c r="P2" i="2" l="1"/>
  <c r="P3" i="2"/>
  <c r="C19" i="1"/>
  <c r="G8" i="1" s="1"/>
  <c r="Q2" i="2"/>
  <c r="T3" i="2"/>
  <c r="T2" i="2"/>
  <c r="R3" i="2"/>
  <c r="R2" i="2"/>
  <c r="Q3" i="2"/>
  <c r="S3" i="2"/>
  <c r="C20" i="1"/>
  <c r="H10" i="1"/>
  <c r="G10" i="1"/>
  <c r="H9" i="1"/>
  <c r="G9" i="1"/>
  <c r="H8" i="1"/>
  <c r="G4" i="1"/>
  <c r="F11" i="1"/>
  <c r="G3" i="1" l="1"/>
  <c r="G5" i="1"/>
  <c r="G6" i="1"/>
  <c r="G7" i="1"/>
  <c r="H4" i="1"/>
  <c r="H3" i="1"/>
  <c r="H5" i="1"/>
  <c r="H6" i="1"/>
  <c r="H7" i="1"/>
  <c r="H11" i="1"/>
  <c r="G11" i="1"/>
  <c r="F12" i="1"/>
  <c r="H12" i="1" l="1"/>
  <c r="G12" i="1"/>
  <c r="F13" i="1"/>
  <c r="H13" i="1" l="1"/>
  <c r="G13" i="1"/>
  <c r="F14" i="1"/>
  <c r="G14" i="1" l="1"/>
  <c r="H14" i="1"/>
  <c r="F15" i="1"/>
  <c r="G15" i="1" l="1"/>
  <c r="H15" i="1"/>
  <c r="F16" i="1"/>
  <c r="G16" i="1" l="1"/>
  <c r="H16" i="1"/>
  <c r="F17" i="1"/>
  <c r="G17" i="1" l="1"/>
  <c r="H17" i="1"/>
  <c r="F18" i="1"/>
  <c r="G18" i="1" l="1"/>
  <c r="H18" i="1"/>
  <c r="F19" i="1"/>
  <c r="H19" i="1" l="1"/>
  <c r="G19" i="1"/>
  <c r="F20" i="1"/>
  <c r="H20" i="1" l="1"/>
  <c r="G20" i="1"/>
  <c r="F21" i="1"/>
  <c r="H21" i="1" l="1"/>
  <c r="G21" i="1"/>
  <c r="F22" i="1"/>
  <c r="H22" i="1" l="1"/>
  <c r="G22" i="1"/>
  <c r="F23" i="1"/>
  <c r="H23" i="1" l="1"/>
  <c r="G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forget</author>
  </authors>
  <commentList>
    <comment ref="C2" authorId="0" shapeId="0" xr:uid="{CEC566A9-741A-41F6-9512-27923817FF6E}">
      <text>
        <r>
          <rPr>
            <b/>
            <sz val="9"/>
            <color indexed="81"/>
            <rFont val="Tahoma"/>
            <family val="2"/>
          </rPr>
          <t>edgar forget:</t>
        </r>
        <r>
          <rPr>
            <sz val="9"/>
            <color indexed="81"/>
            <rFont val="Tahoma"/>
            <family val="2"/>
          </rPr>
          <t xml:space="preserve">
Données à remplir par l'utilisateur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forget</author>
  </authors>
  <commentList>
    <comment ref="K1" authorId="0" shapeId="0" xr:uid="{F057A869-E562-4605-B5DD-4C1D181793C9}">
      <text>
        <r>
          <rPr>
            <b/>
            <sz val="9"/>
            <color indexed="81"/>
            <rFont val="Tahoma"/>
            <family val="2"/>
          </rPr>
          <t>edgar forget:</t>
        </r>
        <r>
          <rPr>
            <sz val="9"/>
            <color indexed="81"/>
            <rFont val="Tahoma"/>
            <family val="2"/>
          </rPr>
          <t xml:space="preserve">
Données récupérées automatiquement de la feuille "Pricer_BS"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<sst xmlns="http://schemas.openxmlformats.org/spreadsheetml/2006/main" count="74" uniqueCount="54">
  <si>
    <t>Parameter</t>
  </si>
  <si>
    <t>Value</t>
  </si>
  <si>
    <t>Description</t>
  </si>
  <si>
    <t>Spot (S0)</t>
  </si>
  <si>
    <t>Underlying price</t>
  </si>
  <si>
    <t>Strike (K)</t>
  </si>
  <si>
    <t>Strike price</t>
  </si>
  <si>
    <t>Maturity (T, years)</t>
  </si>
  <si>
    <t>Time to maturity in years</t>
  </si>
  <si>
    <t>Volatility (σ)</t>
  </si>
  <si>
    <t>Annual volatility</t>
  </si>
  <si>
    <t>Risk-free rate (r)</t>
  </si>
  <si>
    <t>Annual risk-free interest rate</t>
  </si>
  <si>
    <t>Dividend yield (q)</t>
  </si>
  <si>
    <t>Annual dividend yield</t>
  </si>
  <si>
    <t>Intermediate Variables</t>
  </si>
  <si>
    <t>d1</t>
  </si>
  <si>
    <t>d2</t>
  </si>
  <si>
    <t>Outputs</t>
  </si>
  <si>
    <t>Call Price</t>
  </si>
  <si>
    <t>Put Price</t>
  </si>
  <si>
    <t>Rappel formule du Call et Put BSM Standard</t>
  </si>
  <si>
    <t>Avec :</t>
  </si>
  <si>
    <t>Underlying Price</t>
  </si>
  <si>
    <t>Call Payoff</t>
  </si>
  <si>
    <t>Put Payoff</t>
  </si>
  <si>
    <t>Rappel : Payoff</t>
  </si>
  <si>
    <r>
      <rPr>
        <b/>
        <sz val="11"/>
        <color theme="1"/>
        <rFont val="Calibri"/>
        <family val="2"/>
        <scheme val="minor"/>
      </rPr>
      <t>Remarque :</t>
    </r>
    <r>
      <rPr>
        <sz val="11"/>
        <color theme="1"/>
        <rFont val="Calibri"/>
        <family val="2"/>
        <scheme val="minor"/>
      </rPr>
      <t xml:space="preserve"> La division par 100 permet d'exprimer une sensibilité au lieu que par unité de volatilité.</t>
    </r>
  </si>
  <si>
    <t>Il s'agit de la Sensibilité au prix du sous-jacent.</t>
  </si>
  <si>
    <t>Il s'agit de la sensibilité du Delta (la convexité du Prix).</t>
  </si>
  <si>
    <t xml:space="preserve">Il s'agit de la sensibilité de la volatilité. </t>
  </si>
  <si>
    <t xml:space="preserve">Il s'agit de la sensibilité au taux sans risque. </t>
  </si>
  <si>
    <t>Formule du Rho d'un Call et Put BSM (avec prise en compte des dividendes)</t>
  </si>
  <si>
    <t>Formule du Théta d'un Call et Put BSM (avec prise en compte des dividendes)</t>
  </si>
  <si>
    <t>Formule du Delta d'un Call et Put BSM (avec prise en compte des dividendes)</t>
  </si>
  <si>
    <r>
      <rPr>
        <b/>
        <sz val="11"/>
        <color theme="1"/>
        <rFont val="Calibri"/>
        <family val="2"/>
        <scheme val="minor"/>
      </rPr>
      <t>Remarque :</t>
    </r>
    <r>
      <rPr>
        <sz val="11"/>
        <color theme="1"/>
        <rFont val="Calibri"/>
        <family val="2"/>
        <scheme val="minor"/>
      </rPr>
      <t xml:space="preserve"> La division par 100 permet d'exprimer une sensibilité au lieu que par unité de taux de sans risque.</t>
    </r>
  </si>
  <si>
    <t>Call</t>
  </si>
  <si>
    <t>Put</t>
  </si>
  <si>
    <t>Delta</t>
  </si>
  <si>
    <t>Gamma</t>
  </si>
  <si>
    <t>Vega</t>
  </si>
  <si>
    <t>Rho</t>
  </si>
  <si>
    <t>Thêta</t>
  </si>
  <si>
    <t>N'(d1)</t>
  </si>
  <si>
    <t>Density of the standard normal distribution at d1</t>
  </si>
  <si>
    <t>N(d1)</t>
  </si>
  <si>
    <t>N(-d1)</t>
  </si>
  <si>
    <t>N(d2)</t>
  </si>
  <si>
    <t>N(-d2)</t>
  </si>
  <si>
    <t>Formule du Gamma d'un Call et Put BSM (avec prise en compte des dividendes)</t>
  </si>
  <si>
    <t>Formule du Vega d'un Call et Put BSM (avec prise en compte des dividendes)</t>
  </si>
  <si>
    <t>Excel</t>
  </si>
  <si>
    <t>VBA</t>
  </si>
  <si>
    <t>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</si>
</sst>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€_-;\-* #,##0.00\ _€_-;_-* &quot;-&quot;??\ _€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0" borderId="4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2" xfId="0" applyBorder="1"/>
    <xf numFmtId="0" fontId="2" fillId="2" borderId="12" xfId="0" applyFont="1" applyFill="1" applyBorder="1"/>
    <xf numFmtId="0" fontId="2" fillId="2" borderId="0" xfId="0" applyFont="1" applyFill="1" applyAlignment="1">
      <alignment horizontal="centerContinuous"/>
    </xf>
    <xf numFmtId="0" fontId="0" fillId="0" borderId="12" xfId="0" applyBorder="1" applyAlignment="1">
      <alignment horizontal="center"/>
    </xf>
    <xf numFmtId="0" fontId="0" fillId="3" borderId="12" xfId="0" applyFill="1" applyBorder="1"/>
    <xf numFmtId="9" fontId="0" fillId="3" borderId="12" xfId="1" applyFont="1" applyFill="1" applyBorder="1"/>
    <xf numFmtId="9" fontId="0" fillId="3" borderId="12" xfId="0" applyNumberFormat="1" applyFill="1" applyBorder="1"/>
    <xf numFmtId="0" fontId="0" fillId="0" borderId="0" xfId="0" quotePrefix="1"/>
    <xf numFmtId="43" fontId="0" fillId="0" borderId="12" xfId="2" applyFont="1" applyBorder="1"/>
    <xf numFmtId="164" fontId="0" fillId="0" borderId="12" xfId="0" applyNumberFormat="1" applyBorder="1"/>
    <xf numFmtId="164" fontId="0" fillId="0" borderId="12" xfId="0" applyNumberForma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" fillId="2" borderId="0" xfId="0" applyFont="1" applyFill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43" fontId="0" fillId="0" borderId="12" xfId="2" applyFont="1" applyBorder="1" applyAlignment="1">
      <alignment horizontal="center"/>
    </xf>
    <xf numFmtId="0" fontId="0" fillId="0" borderId="12" xfId="0" applyBorder="1" applyAlignment="1">
      <alignment vertical="center"/>
    </xf>
    <xf numFmtId="43" fontId="0" fillId="0" borderId="12" xfId="2" applyFont="1" applyBorder="1" applyAlignment="1">
      <alignment vertical="center"/>
    </xf>
    <xf numFmtId="0" fontId="0" fillId="0" borderId="12" xfId="0" applyBorder="1" applyAlignment="1">
      <alignment vertical="center" wrapText="1"/>
    </xf>
    <xf numFmtId="0" fontId="4" fillId="2" borderId="0" xfId="0" applyFont="1" applyFill="1" applyAlignment="1">
      <alignment horizontal="center"/>
    </xf>
    <xf numFmtId="0" fontId="2" fillId="2" borderId="0" xfId="0" quotePrefix="1" applyFont="1" applyFill="1" applyAlignment="1">
      <alignment horizontal="center"/>
    </xf>
    <xf numFmtId="43" fontId="0" fillId="3" borderId="12" xfId="2" applyFont="1" applyFill="1" applyBorder="1"/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0" fillId="0" borderId="12" xfId="0" applyBorder="1" applyAlignment="1">
      <alignment horizontal="center" textRotation="90"/>
    </xf>
    <xf numFmtId="0" fontId="0" fillId="0" borderId="12" xfId="0" applyBorder="1" applyAlignment="1">
      <alignment horizontal="center" vertical="center" textRotation="90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</cellXfs>
  <cellStyles count="3">
    <cellStyle name="Milliers" xfId="2" builtinId="3"/>
    <cellStyle name="Normal" xfId="0" builtinId="0"/>
    <cellStyle name="Pourcentage" xfId="1" builtinId="5"/>
  </cellStyles>
  <dxfs count="2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PayOff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Pricer_BS!$G$2</c:f>
              <c:strCache>
                <c:ptCount val="1"/>
                <c:pt idx="0">
                  <c:v>Call Payoff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Pricer_BS!$G$3:$G$23</c:f>
              <c:numCache>
                <c:formatCode>_-* #\ ##0.00\ _€_-;\-* #\ ##0.00\ _€_-;_-* "-"??\ _€_-;_-@_-</c:formatCode>
                <c:ptCount val="21"/>
                <c:pt idx="0">
                  <c:v>-9.1168327130289626</c:v>
                </c:pt>
                <c:pt idx="1">
                  <c:v>-9.1168327130289626</c:v>
                </c:pt>
                <c:pt idx="2">
                  <c:v>-9.1168327130289626</c:v>
                </c:pt>
                <c:pt idx="3">
                  <c:v>-9.1168327130289626</c:v>
                </c:pt>
                <c:pt idx="4">
                  <c:v>-9.1168327130289626</c:v>
                </c:pt>
                <c:pt idx="5">
                  <c:v>-9.1168327130289626</c:v>
                </c:pt>
                <c:pt idx="6">
                  <c:v>-9.1168327130289626</c:v>
                </c:pt>
                <c:pt idx="7">
                  <c:v>-9.1168327130289626</c:v>
                </c:pt>
                <c:pt idx="8">
                  <c:v>-9.1168327130289626</c:v>
                </c:pt>
                <c:pt idx="9">
                  <c:v>-4.1168327130289626</c:v>
                </c:pt>
                <c:pt idx="10">
                  <c:v>0.88316728697103741</c:v>
                </c:pt>
                <c:pt idx="11">
                  <c:v>5.8831672869710374</c:v>
                </c:pt>
                <c:pt idx="12">
                  <c:v>10.883167286971037</c:v>
                </c:pt>
                <c:pt idx="13">
                  <c:v>15.883167286971037</c:v>
                </c:pt>
                <c:pt idx="14">
                  <c:v>20.883167286971037</c:v>
                </c:pt>
                <c:pt idx="15">
                  <c:v>25.883167286971037</c:v>
                </c:pt>
                <c:pt idx="16">
                  <c:v>30.883167286971037</c:v>
                </c:pt>
                <c:pt idx="17">
                  <c:v>35.883167286971037</c:v>
                </c:pt>
                <c:pt idx="18">
                  <c:v>40.883167286971037</c:v>
                </c:pt>
                <c:pt idx="19">
                  <c:v>45.883167286971037</c:v>
                </c:pt>
                <c:pt idx="20">
                  <c:v>50.883167286971037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BD-49EE-AC20-74F3E23B10AA}"/>
            </c:ext>
          </c:extLst>
        </c:ser>
        <c:ser>
          <c:idx val="2"/>
          <c:order val="2"/>
          <c:tx>
            <c:strRef>
              <c:f>Pricer_BS!$H$2</c:f>
              <c:strCache>
                <c:ptCount val="1"/>
                <c:pt idx="0">
                  <c:v>Put Payoff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Pricer_BS!$H$3:$H$23</c:f>
              <c:numCache>
                <c:formatCode>_-* #\ ##0.00\ _€_-;\-* #\ ##0.00\ _€_-;_-* "-"??\ _€_-;_-@_-</c:formatCode>
                <c:ptCount val="21"/>
                <c:pt idx="0">
                  <c:v>34.626208219431753</c:v>
                </c:pt>
                <c:pt idx="1">
                  <c:v>30.626208219431753</c:v>
                </c:pt>
                <c:pt idx="2">
                  <c:v>25.626208219431753</c:v>
                </c:pt>
                <c:pt idx="3">
                  <c:v>20.626208219431753</c:v>
                </c:pt>
                <c:pt idx="4">
                  <c:v>15.626208219431753</c:v>
                </c:pt>
                <c:pt idx="5">
                  <c:v>10.626208219431753</c:v>
                </c:pt>
                <c:pt idx="6">
                  <c:v>5.6262082194317529</c:v>
                </c:pt>
                <c:pt idx="7">
                  <c:v>0.62620821943175287</c:v>
                </c:pt>
                <c:pt idx="8">
                  <c:v>-4.3737917805682471</c:v>
                </c:pt>
                <c:pt idx="9">
                  <c:v>-4.3737917805682471</c:v>
                </c:pt>
                <c:pt idx="10">
                  <c:v>-4.3737917805682471</c:v>
                </c:pt>
                <c:pt idx="11">
                  <c:v>-4.3737917805682471</c:v>
                </c:pt>
                <c:pt idx="12">
                  <c:v>-4.3737917805682471</c:v>
                </c:pt>
                <c:pt idx="13">
                  <c:v>-4.3737917805682471</c:v>
                </c:pt>
                <c:pt idx="14">
                  <c:v>-4.3737917805682471</c:v>
                </c:pt>
                <c:pt idx="15">
                  <c:v>-4.3737917805682471</c:v>
                </c:pt>
                <c:pt idx="16">
                  <c:v>-4.3737917805682471</c:v>
                </c:pt>
                <c:pt idx="17">
                  <c:v>-4.3737917805682471</c:v>
                </c:pt>
                <c:pt idx="18">
                  <c:v>-4.3737917805682471</c:v>
                </c:pt>
                <c:pt idx="19">
                  <c:v>-4.3737917805682471</c:v>
                </c:pt>
                <c:pt idx="20">
                  <c:v>-4.3737917805682471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BD-49EE-AC20-74F3E23B1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4441056"/>
        <c:axId val="158444057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Pricer_BS!$F$2</c15:sqref>
                        </c15:formulaRef>
                      </c:ext>
                    </c:extLst>
                    <c:strCache>
                      <c:ptCount val="1"/>
                      <c:pt idx="0">
                        <c:v>Underlying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Pricer_BS!$F$3:$F$23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15</c:v>
                      </c:pt>
                      <c:pt idx="4">
                        <c:v>20</c:v>
                      </c:pt>
                      <c:pt idx="5">
                        <c:v>25</c:v>
                      </c:pt>
                      <c:pt idx="6">
                        <c:v>30</c:v>
                      </c:pt>
                      <c:pt idx="7">
                        <c:v>35</c:v>
                      </c:pt>
                      <c:pt idx="8">
                        <c:v>40</c:v>
                      </c:pt>
                      <c:pt idx="9">
                        <c:v>45</c:v>
                      </c:pt>
                      <c:pt idx="10">
                        <c:v>50</c:v>
                      </c:pt>
                      <c:pt idx="11">
                        <c:v>55</c:v>
                      </c:pt>
                      <c:pt idx="12">
                        <c:v>60</c:v>
                      </c:pt>
                      <c:pt idx="13">
                        <c:v>65</c:v>
                      </c:pt>
                      <c:pt idx="14">
                        <c:v>70</c:v>
                      </c:pt>
                      <c:pt idx="15">
                        <c:v>75</c:v>
                      </c:pt>
                      <c:pt idx="16">
                        <c:v>80</c:v>
                      </c:pt>
                      <c:pt idx="17">
                        <c:v>85</c:v>
                      </c:pt>
                      <c:pt idx="18">
                        <c:v>90</c:v>
                      </c:pt>
                      <c:pt idx="19">
                        <c:v>95</c:v>
                      </c:pt>
                      <c:pt idx="20">
                        <c:v>100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DBD-49EE-AC20-74F3E23B10AA}"/>
                  </c:ext>
                </c:extLst>
              </c15:ser>
            </c15:filteredLineSeries>
          </c:ext>
        </c:extLst>
      </c:lineChart>
      <c:catAx>
        <c:axId val="15844410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440576"/>
        <c:crosses val="autoZero"/>
        <c:auto val="1"/>
        <c:lblAlgn val="ctr"/>
        <c:lblOffset val="100"/>
        <c:noMultiLvlLbl val="0"/>
      </c:catAx>
      <c:valAx>
        <c:axId val="158444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_€_-;\-* #\ ##0.0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4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523875</xdr:colOff>
      <xdr:row>3</xdr:row>
      <xdr:rowOff>114300</xdr:rowOff>
    </xdr:from>
    <xdr:to>
      <xdr:col>15</xdr:col>
      <xdr:colOff>356634</xdr:colOff>
      <xdr:row>5</xdr:row>
      <xdr:rowOff>30975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FF115FB3-5A86-41F8-9030-46FCD7AEAB0E}"/>
                </a:ext>
              </a:extLst>
            </xdr:cNvPr>
            <xdr:cNvSpPr txBox="1"/>
          </xdr:nvSpPr>
          <xdr:spPr>
            <a:xfrm>
              <a:off x="14130338" y="719138"/>
              <a:ext cx="3642759" cy="28338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fr-FR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</m:t>
                    </m:r>
                    <m:r>
                      <a:rPr lang="fr-FR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sSup>
                      <m:sSup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𝑞𝑇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𝐾</m:t>
                    </m:r>
                    <m:sSup>
                      <m:sSup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𝑟𝑇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fr-FR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FF115FB3-5A86-41F8-9030-46FCD7AEAB0E}"/>
                </a:ext>
              </a:extLst>
            </xdr:cNvPr>
            <xdr:cNvSpPr txBox="1"/>
          </xdr:nvSpPr>
          <xdr:spPr>
            <a:xfrm>
              <a:off x="14130338" y="719138"/>
              <a:ext cx="3642759" cy="28338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C=𝑆_0 𝑒^(−𝑞𝑇) 𝑁(𝑑_1 )−𝐾𝑒^(−𝑟𝑇) 𝑁(𝑑_2)</a:t>
              </a:r>
              <a:endParaRPr lang="fr-FR"/>
            </a:p>
          </xdr:txBody>
        </xdr:sp>
      </mc:Fallback>
    </mc:AlternateContent>
    <xdr:clientData/>
  </xdr:twoCellAnchor>
  <xdr:twoCellAnchor>
    <xdr:from>
      <xdr:col>10</xdr:col>
      <xdr:colOff>352425</xdr:colOff>
      <xdr:row>6</xdr:row>
      <xdr:rowOff>95250</xdr:rowOff>
    </xdr:from>
    <xdr:to>
      <xdr:col>15</xdr:col>
      <xdr:colOff>552451</xdr:colOff>
      <xdr:row>8</xdr:row>
      <xdr:rowOff>16285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7">
              <a:extLst>
                <a:ext uri="{FF2B5EF4-FFF2-40B4-BE49-F238E27FC236}">
                  <a16:creationId xmlns:a16="http://schemas.microsoft.com/office/drawing/2014/main" id="{A0943CA3-C0A2-4B2B-9EEA-DA81F32B3A23}"/>
                </a:ext>
              </a:extLst>
            </xdr:cNvPr>
            <xdr:cNvSpPr txBox="1"/>
          </xdr:nvSpPr>
          <xdr:spPr>
            <a:xfrm>
              <a:off x="13958888" y="1247775"/>
              <a:ext cx="4010026" cy="287748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fr-FR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P</m:t>
                    </m:r>
                    <m:r>
                      <a:rPr lang="fr-FR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sSup>
                      <m:sSupPr>
                        <m:ctrlP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</m:ctrlPr>
                      </m:sSupPr>
                      <m:e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𝑒</m:t>
                        </m:r>
                      </m:e>
                      <m:sup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−</m:t>
                        </m:r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𝑞𝑇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𝐾</m:t>
                    </m:r>
                    <m:sSup>
                      <m:sSup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𝑟𝑇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fr-FR"/>
            </a:p>
          </xdr:txBody>
        </xdr:sp>
      </mc:Choice>
      <mc:Fallback xmlns="">
        <xdr:sp macro="" textlink="">
          <xdr:nvSpPr>
            <xdr:cNvPr id="3" name="ZoneTexte 7">
              <a:extLst>
                <a:ext uri="{FF2B5EF4-FFF2-40B4-BE49-F238E27FC236}">
                  <a16:creationId xmlns:a16="http://schemas.microsoft.com/office/drawing/2014/main" id="{A0943CA3-C0A2-4B2B-9EEA-DA81F32B3A23}"/>
                </a:ext>
              </a:extLst>
            </xdr:cNvPr>
            <xdr:cNvSpPr txBox="1"/>
          </xdr:nvSpPr>
          <xdr:spPr>
            <a:xfrm>
              <a:off x="13958888" y="1247775"/>
              <a:ext cx="4010026" cy="287748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P=〖−𝑆〗_0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sym typeface="Arial"/>
                </a:rPr>
                <a:t> 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𝑒^(−𝑞𝑇)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/>
                  <a:sym typeface="Arial"/>
                </a:rPr>
                <a:t> </a:t>
              </a:r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𝑁(〖−𝑑〗_1 )+𝐾𝑒^(−𝑟𝑇) 𝑁(〖−𝑑〗_2)</a:t>
              </a:r>
              <a:endParaRPr lang="fr-FR"/>
            </a:p>
          </xdr:txBody>
        </xdr:sp>
      </mc:Fallback>
    </mc:AlternateContent>
    <xdr:clientData/>
  </xdr:twoCellAnchor>
  <xdr:twoCellAnchor>
    <xdr:from>
      <xdr:col>9</xdr:col>
      <xdr:colOff>90488</xdr:colOff>
      <xdr:row>9</xdr:row>
      <xdr:rowOff>66674</xdr:rowOff>
    </xdr:from>
    <xdr:to>
      <xdr:col>12</xdr:col>
      <xdr:colOff>533400</xdr:colOff>
      <xdr:row>17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5BAF172D-8B20-439C-8917-C24446155B0C}"/>
                </a:ext>
              </a:extLst>
            </xdr:cNvPr>
            <xdr:cNvSpPr txBox="1"/>
          </xdr:nvSpPr>
          <xdr:spPr>
            <a:xfrm>
              <a:off x="7777163" y="1724024"/>
              <a:ext cx="2776537" cy="1419226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rtl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2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𝑁</m:t>
                    </m:r>
                    <m:d>
                      <m:dPr>
                        <m:ctrlP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</m:d>
                    <m:r>
                      <a:rPr lang="fr-FR" sz="12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trlP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∞</m:t>
                        </m:r>
                      </m:sub>
                      <m:sup>
                        <m: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sup>
                      <m:e>
                        <m:f>
                          <m:fPr>
                            <m:ctrlPr>
                              <a:rPr lang="fr-FR" sz="12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fr-FR" sz="12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fr-FR" sz="12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fr-FR" sz="12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  <m:r>
                                  <a:rPr lang="fr-FR" sz="12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</m:rad>
                          </m:den>
                        </m:f>
                        <m:sSup>
                          <m:sSupPr>
                            <m:ctrlPr>
                              <a:rPr lang="fr-FR" sz="12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fr-FR" sz="12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fr-FR" sz="12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fr-FR" sz="12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2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fr-FR" sz="12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sSup>
                              <m:sSupPr>
                                <m:ctrlPr>
                                  <a:rPr lang="fr-FR" sz="12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fr-FR" sz="12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𝑢</m:t>
                                </m:r>
                              </m:e>
                              <m:sup>
                                <m:r>
                                  <a:rPr lang="fr-FR" sz="12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sup>
                        </m:sSup>
                        <m: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𝑑𝑢</m:t>
                        </m:r>
                      </m:e>
                    </m:nary>
                  </m:oMath>
                </m:oMathPara>
              </a14:m>
              <a:endParaRPr lang="fr-FR" sz="1200">
                <a:effectLst/>
              </a:endParaRPr>
            </a:p>
            <a:p>
              <a:pPr rtl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𝑁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′</m:t>
                    </m:r>
                    <m:d>
                      <m:dPr>
                        <m:ctrlP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</m:d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fr-FR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fr-FR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  <m:r>
                              <a:rPr lang="fr-FR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𝜋</m:t>
                            </m:r>
                          </m:e>
                        </m:rad>
                      </m:den>
                    </m:f>
                    <m:sSup>
                      <m:sSupPr>
                        <m:ctrlP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fr-FR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fr-FR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fr-FR" sz="1200">
                <a:effectLst/>
              </a:endParaRPr>
            </a:p>
            <a:p>
              <a:pPr algn="ctr" rtl="0"/>
              <a14:m>
                <m:oMath xmlns:m="http://schemas.openxmlformats.org/officeDocument/2006/math">
                  <m:sSub>
                    <m:sSubPr>
                      <m:ctrlPr>
                        <a:rPr lang="fr-FR" sz="12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fr-FR" sz="12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</m:t>
                      </m:r>
                    </m:e>
                    <m:sub>
                      <m:r>
                        <a:rPr lang="fr-FR" sz="12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fr-FR" sz="12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fr-FR" sz="12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2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num>
                    <m:den>
                      <m:r>
                        <a:rPr lang="fr-FR" sz="12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𝜎</m:t>
                      </m:r>
                      <m:rad>
                        <m:radPr>
                          <m:degHide m:val="on"/>
                          <m:ctrlPr>
                            <a:rPr lang="fr-FR" sz="12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radPr>
                        <m:deg/>
                        <m:e>
                          <m:r>
                            <a:rPr lang="fr-FR" sz="12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𝑇</m:t>
                          </m:r>
                        </m:e>
                      </m:rad>
                    </m:den>
                  </m:f>
                  <m:r>
                    <a:rPr lang="fr-FR" sz="12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func>
                    <m:funcPr>
                      <m:ctrlPr>
                        <a:rPr lang="fr-FR" sz="12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fr-FR" sz="1200" b="0" i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ln</m:t>
                      </m:r>
                    </m:fName>
                    <m:e>
                      <m:d>
                        <m:dPr>
                          <m:ctrlPr>
                            <a:rPr lang="fr-FR" sz="12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fr-FR" sz="12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sSub>
                                <m:sSubPr>
                                  <m:ctrlPr>
                                    <a:rPr lang="fr-FR" sz="12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fr-FR" sz="12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𝑆</m:t>
                                  </m:r>
                                </m:e>
                                <m:sub>
                                  <m:r>
                                    <a:rPr lang="fr-FR" sz="12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0</m:t>
                                  </m:r>
                                </m:sub>
                              </m:sSub>
                            </m:num>
                            <m:den>
                              <m:r>
                                <a:rPr lang="fr-FR" sz="12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den>
                          </m:f>
                        </m:e>
                      </m:d>
                    </m:e>
                  </m:func>
                  <m:r>
                    <a:rPr lang="fr-FR" sz="12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d>
                    <m:dPr>
                      <m:ctrlPr>
                        <a:rPr lang="fr-FR" sz="12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fr-FR" sz="12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</m:t>
                      </m:r>
                      <m:r>
                        <a:rPr lang="fr-FR" sz="12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fr-FR" sz="12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𝑞</m:t>
                      </m:r>
                      <m:r>
                        <a:rPr lang="fr-FR" sz="12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f>
                        <m:fPr>
                          <m:ctrlPr>
                            <a:rPr lang="fr-FR" sz="12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fr-FR" sz="12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</m:t>
                          </m:r>
                        </m:num>
                        <m:den>
                          <m:r>
                            <a:rPr lang="fr-FR" sz="12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den>
                      </m:f>
                      <m:sSup>
                        <m:sSupPr>
                          <m:ctrlPr>
                            <a:rPr lang="fr-FR" sz="12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fr-FR" sz="12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𝜎</m:t>
                          </m:r>
                        </m:e>
                        <m:sup>
                          <m:r>
                            <a:rPr lang="fr-FR" sz="12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e>
                  </m:d>
                  <m:r>
                    <a:rPr lang="fr-FR" sz="12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𝑇</m:t>
                  </m:r>
                </m:oMath>
              </a14:m>
              <a:r>
                <a:rPr lang="fr-FR" sz="1200">
                  <a:effectLst/>
                </a:rPr>
                <a:t>)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r>
                      <a:rPr lang="fr-FR" sz="12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fr-FR" sz="12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fr-FR" sz="12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𝜎</m:t>
                    </m:r>
                    <m:rad>
                      <m:radPr>
                        <m:degHide m:val="on"/>
                        <m:ctrlP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fr-FR" sz="12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rad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5BAF172D-8B20-439C-8917-C24446155B0C}"/>
                </a:ext>
              </a:extLst>
            </xdr:cNvPr>
            <xdr:cNvSpPr txBox="1"/>
          </xdr:nvSpPr>
          <xdr:spPr>
            <a:xfrm>
              <a:off x="7777163" y="1724024"/>
              <a:ext cx="2776537" cy="1419226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rtl="0"/>
              <a:r>
                <a:rPr lang="fr-FR" sz="12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𝑁(𝑥)=∫_(−∞)^𝑥▒〖1/√2𝜋 𝑒^(−1/2 𝑢^2 ) 𝑑𝑢〗</a:t>
              </a:r>
              <a:endParaRPr lang="fr-FR" sz="1200">
                <a:effectLst/>
              </a:endParaRPr>
            </a:p>
            <a:p>
              <a:pPr rtl="0"/>
              <a:r>
                <a:rPr lang="fr-F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𝑁′(𝑥)=1/√2𝜋 𝑒^(−𝑑_1/2)</a:t>
              </a:r>
              <a:endParaRPr lang="fr-FR" sz="1200">
                <a:effectLst/>
              </a:endParaRPr>
            </a:p>
            <a:p>
              <a:pPr algn="ctr" rtl="0"/>
              <a:r>
                <a:rPr lang="fr-FR" sz="12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𝑑_1=1/(𝜎√𝑇)(ln⁡(𝑆_0/𝐾)+(𝑟−𝑞+1/2 𝜎^2 )𝑇</a:t>
              </a:r>
              <a:r>
                <a:rPr lang="fr-FR" sz="1200">
                  <a:effectLst/>
                </a:rPr>
                <a:t>)</a:t>
              </a:r>
            </a:p>
            <a:p>
              <a:pPr/>
              <a:r>
                <a:rPr lang="fr-FR" sz="12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𝑑_2=𝑑_1−𝜎√𝑇</a:t>
              </a:r>
              <a:endParaRPr lang="fr-FR" sz="1100"/>
            </a:p>
          </xdr:txBody>
        </xdr:sp>
      </mc:Fallback>
    </mc:AlternateContent>
    <xdr:clientData/>
  </xdr:twoCellAnchor>
  <xdr:twoCellAnchor>
    <xdr:from>
      <xdr:col>13</xdr:col>
      <xdr:colOff>0</xdr:colOff>
      <xdr:row>9</xdr:row>
      <xdr:rowOff>47625</xdr:rowOff>
    </xdr:from>
    <xdr:to>
      <xdr:col>16</xdr:col>
      <xdr:colOff>1057275</xdr:colOff>
      <xdr:row>17</xdr:row>
      <xdr:rowOff>28574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BD4DC1E4-91B1-4E9E-BE27-510CAB955D77}"/>
                </a:ext>
              </a:extLst>
            </xdr:cNvPr>
            <xdr:cNvSpPr txBox="1"/>
          </xdr:nvSpPr>
          <xdr:spPr>
            <a:xfrm>
              <a:off x="10668000" y="1704975"/>
              <a:ext cx="3214688" cy="142874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 rtl="0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: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𝑙𝑎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𝑣𝑎𝑙𝑒𝑢𝑟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𝑎𝑐𝑡𝑢𝑒𝑙𝑙𝑒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𝑑𝑢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𝑠𝑜𝑢𝑠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𝑗𝑎𝑐𝑒𝑛𝑡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fr-FR" sz="1100">
                <a:effectLst/>
              </a:endParaRPr>
            </a:p>
            <a:p>
              <a:pPr algn="l" rtl="0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𝑇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: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𝑙𝑒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𝑡𝑒𝑚𝑝𝑠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𝑟𝑒𝑠𝑡𝑎𝑛𝑡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𝑗𝑢𝑠𝑞</m:t>
                    </m:r>
                    <m:sSup>
                      <m:sSupPr>
                        <m:ctrlP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𝑢</m:t>
                        </m:r>
                      </m:e>
                      <m:sup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à </m:t>
                    </m:r>
                    <m:sSup>
                      <m:sSupPr>
                        <m:ctrlP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e>
                      <m:sup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é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𝑐h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é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𝑎𝑛𝑐𝑒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𝑒𝑛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𝑎𝑛𝑛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é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𝑒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fr-FR">
                <a:effectLst/>
              </a:endParaRPr>
            </a:p>
            <a:p>
              <a:pPr algn="l" rtl="0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: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𝑙𝑒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𝑝𝑟𝑖𝑥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p>
                      <m:sSupPr>
                        <m:ctrlP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p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𝑒𝑥𝑒𝑟𝑐𝑖𝑐𝑒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𝑑𝑒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p>
                      <m:sSupPr>
                        <m:ctrlP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e>
                      <m:sup>
                        <m:r>
                          <a:rPr lang="fr-F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𝑜𝑝𝑡𝑖𝑜𝑛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𝑠𝑡𝑟𝑖𝑘𝑒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 </m:t>
                    </m:r>
                  </m:oMath>
                </m:oMathPara>
              </a14:m>
              <a:endParaRPr lang="fr-FR">
                <a:effectLst/>
              </a:endParaRPr>
            </a:p>
            <a:p>
              <a:pPr algn="l" rtl="0"/>
              <a14:m>
                <m:oMath xmlns:m="http://schemas.openxmlformats.org/officeDocument/2006/math">
                  <m:r>
                    <a:rPr lang="fr-FR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𝜎</m:t>
                  </m:r>
                  <m:r>
                    <a:rPr lang="fr-FR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:</m:t>
                  </m:r>
                  <m:r>
                    <a:rPr lang="fr-FR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𝑙𝑎</m:t>
                  </m:r>
                  <m:r>
                    <a:rPr lang="fr-FR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fr-FR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𝑣𝑜𝑙𝑎𝑡𝑖𝑙𝑖𝑡</m:t>
                  </m:r>
                  <m:r>
                    <a:rPr lang="fr-FR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é </m:t>
                  </m:r>
                  <m:r>
                    <a:rPr lang="fr-FR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𝑑𝑢</m:t>
                  </m:r>
                  <m:r>
                    <a:rPr lang="fr-FR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fr-FR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𝑠𝑜𝑢𝑠</m:t>
                  </m:r>
                  <m:r>
                    <a:rPr lang="fr-FR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r>
                    <a:rPr lang="fr-FR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𝑗𝑎𝑐𝑒𝑛𝑡</m:t>
                  </m:r>
                </m:oMath>
              </a14:m>
              <a:r>
                <a:rPr lang="fr-FR">
                  <a:effectLst/>
                </a:rPr>
                <a:t> (%)</a:t>
              </a:r>
            </a:p>
            <a:p>
              <a:pPr algn="l" rtl="0"/>
              <a:r>
                <a:rPr lang="fr-FR" sz="1100" b="0" i="1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q</a:t>
              </a:r>
              <a:r>
                <a:rPr lang="fr-FR" sz="1100" b="0" i="1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: taux de dividende (%)</a:t>
              </a:r>
              <a:endParaRPr lang="fr-FR" sz="1100" b="0" i="1">
                <a:solidFill>
                  <a:schemeClr val="dk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algn="l" rtl="0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𝑟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: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𝑙𝑒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𝑡𝑎𝑢𝑥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𝑠𝑎𝑛𝑠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𝑟𝑖𝑠𝑞𝑢𝑒</m:t>
                    </m:r>
                    <m:r>
                      <a:rPr lang="fr-FR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fr-FR">
                <a:effectLst/>
              </a:endParaRPr>
            </a:p>
            <a:p>
              <a:endParaRPr lang="fr-FR" sz="1100"/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BD4DC1E4-91B1-4E9E-BE27-510CAB955D77}"/>
                </a:ext>
              </a:extLst>
            </xdr:cNvPr>
            <xdr:cNvSpPr txBox="1"/>
          </xdr:nvSpPr>
          <xdr:spPr>
            <a:xfrm>
              <a:off x="10668000" y="1704975"/>
              <a:ext cx="3214688" cy="142874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 rtl="0"/>
              <a:r>
                <a:rPr lang="fr-F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𝑆_0:𝑙𝑎 𝑣𝑎𝑙𝑒𝑢𝑟 𝑎𝑐𝑡𝑢𝑒𝑙𝑙𝑒 𝑑𝑢 𝑠𝑜𝑢𝑠−𝑗𝑎𝑐𝑒𝑛𝑡 </a:t>
              </a:r>
              <a:endParaRPr lang="fr-FR" sz="1100">
                <a:effectLst/>
              </a:endParaRPr>
            </a:p>
            <a:p>
              <a:pPr algn="l" rtl="0"/>
              <a:r>
                <a:rPr lang="fr-F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𝑇:𝑙𝑒 𝑡𝑒𝑚𝑝𝑠 𝑟𝑒𝑠𝑡𝑎𝑛𝑡 𝑗𝑢𝑠𝑞𝑢^′ à 𝑙^′ é𝑐ℎé𝑎𝑛𝑐𝑒 (𝑒𝑛 𝑎𝑛𝑛é𝑒)</a:t>
              </a:r>
              <a:endParaRPr lang="fr-FR">
                <a:effectLst/>
              </a:endParaRPr>
            </a:p>
            <a:p>
              <a:pPr algn="l" rtl="0"/>
              <a:r>
                <a:rPr lang="fr-F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 :𝑙𝑒 𝑝𝑟𝑖𝑥 𝑑^′ 𝑒𝑥𝑒𝑟𝑐𝑖𝑐𝑒 𝑑𝑒 𝑙^′ 𝑜𝑝𝑡𝑖𝑜𝑛 (𝑠𝑡𝑟𝑖𝑘𝑒) </a:t>
              </a:r>
              <a:endParaRPr lang="fr-FR">
                <a:effectLst/>
              </a:endParaRPr>
            </a:p>
            <a:p>
              <a:pPr algn="l" rtl="0"/>
              <a:r>
                <a:rPr lang="fr-F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 :𝑙𝑎 𝑣𝑜𝑙𝑎𝑡𝑖𝑙𝑖𝑡é 𝑑𝑢 𝑠𝑜𝑢𝑠−𝑗𝑎𝑐𝑒𝑛𝑡</a:t>
              </a:r>
              <a:r>
                <a:rPr lang="fr-FR">
                  <a:effectLst/>
                </a:rPr>
                <a:t> (%)</a:t>
              </a:r>
            </a:p>
            <a:p>
              <a:pPr algn="l" rtl="0"/>
              <a:r>
                <a:rPr lang="fr-FR" sz="1100" b="0" i="1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q</a:t>
              </a:r>
              <a:r>
                <a:rPr lang="fr-FR" sz="1100" b="0" i="1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: taux de dividende (%)</a:t>
              </a:r>
              <a:endParaRPr lang="fr-FR" sz="1100" b="0" i="1">
                <a:solidFill>
                  <a:schemeClr val="dk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algn="l" rtl="0"/>
              <a:r>
                <a:rPr lang="fr-F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 :𝑙𝑒 𝑡𝑎𝑢𝑥 𝑠𝑎𝑛𝑠 𝑟𝑖𝑠𝑞𝑢𝑒 </a:t>
              </a:r>
              <a:endParaRPr lang="fr-FR">
                <a:effectLst/>
              </a:endParaRPr>
            </a:p>
            <a:p>
              <a:endParaRPr lang="fr-FR" sz="1100"/>
            </a:p>
          </xdr:txBody>
        </xdr:sp>
      </mc:Fallback>
    </mc:AlternateContent>
    <xdr:clientData/>
  </xdr:twoCellAnchor>
  <xdr:twoCellAnchor>
    <xdr:from>
      <xdr:col>9</xdr:col>
      <xdr:colOff>452438</xdr:colOff>
      <xdr:row>21</xdr:row>
      <xdr:rowOff>33338</xdr:rowOff>
    </xdr:from>
    <xdr:to>
      <xdr:col>16</xdr:col>
      <xdr:colOff>742950</xdr:colOff>
      <xdr:row>22</xdr:row>
      <xdr:rowOff>176747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ZoneTexte 10">
              <a:extLst>
                <a:ext uri="{FF2B5EF4-FFF2-40B4-BE49-F238E27FC236}">
                  <a16:creationId xmlns:a16="http://schemas.microsoft.com/office/drawing/2014/main" id="{9A2F66BF-A97A-4664-BBD9-E2DD84DF167B}"/>
                </a:ext>
              </a:extLst>
            </xdr:cNvPr>
            <xdr:cNvSpPr txBox="1"/>
          </xdr:nvSpPr>
          <xdr:spPr>
            <a:xfrm>
              <a:off x="7891463" y="8158163"/>
              <a:ext cx="5429250" cy="324384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𝑃𝑎𝑦𝑜𝑓𝑓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𝐶𝑎𝑙𝑙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: (</m:t>
                        </m:r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fr-FR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max</m:t>
                        </m:r>
                      </m:fName>
                      <m:e>
                        <m:d>
                          <m:d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Arial"/>
                                    <a:cs typeface="Arial"/>
                                    <a:sym typeface="Arial"/>
                                  </a:rPr>
                                </m:ctrlPr>
                              </m:sSubPr>
                              <m:e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Arial"/>
                                    <a:cs typeface="Arial"/>
                                    <a:sym typeface="Arial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Arial"/>
                                    <a:cs typeface="Arial"/>
                                    <a:sym typeface="Arial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fr-FR" sz="1400" b="0" i="0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Arial"/>
                                <a:cs typeface="Arial"/>
                                <a:sym typeface="Arial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fr-FR" sz="1400" b="0" i="0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Arial"/>
                                <a:cs typeface="Arial"/>
                                <a:sym typeface="Arial"/>
                              </a:rPr>
                              <m:t>K</m:t>
                            </m:r>
                            <m:r>
                              <a:rPr lang="fr-FR" sz="1400" b="0" i="0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Arial"/>
                                <a:cs typeface="Arial"/>
                                <a:sym typeface="Arial"/>
                              </a:rPr>
                              <m:t>;0</m:t>
                            </m:r>
                          </m:e>
                        </m:d>
                      </m:e>
                    </m:func>
                    <m:r>
                      <a:rPr lang="fr-FR" sz="1400" b="0" i="1" u="none" strike="noStrike" cap="none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Arial"/>
                        <a:sym typeface="Arial"/>
                      </a:rPr>
                      <m:t>−</m:t>
                    </m:r>
                    <m:sSub>
                      <m:sSubPr>
                        <m:ctrlP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/>
                            <a:sym typeface="Arial"/>
                          </a:rPr>
                        </m:ctrlPr>
                      </m:sSubPr>
                      <m:e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/>
                            <a:sym typeface="Arial"/>
                          </a:rPr>
                          <m:t>𝑃𝑟𝑖𝑥</m:t>
                        </m:r>
                      </m:e>
                      <m:sub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/>
                            <a:sym typeface="Arial"/>
                          </a:rPr>
                          <m:t>𝑂𝑝𝑡𝑖𝑜𝑛</m:t>
                        </m:r>
                      </m:sub>
                    </m:sSub>
                  </m:oMath>
                </m:oMathPara>
              </a14:m>
              <a:endParaRPr lang="fr-FR"/>
            </a:p>
          </xdr:txBody>
        </xdr:sp>
      </mc:Choice>
      <mc:Fallback xmlns="">
        <xdr:sp macro="" textlink="">
          <xdr:nvSpPr>
            <xdr:cNvPr id="11" name="ZoneTexte 10">
              <a:extLst>
                <a:ext uri="{FF2B5EF4-FFF2-40B4-BE49-F238E27FC236}">
                  <a16:creationId xmlns:a16="http://schemas.microsoft.com/office/drawing/2014/main" id="{9A2F66BF-A97A-4664-BBD9-E2DD84DF167B}"/>
                </a:ext>
              </a:extLst>
            </xdr:cNvPr>
            <xdr:cNvSpPr txBox="1"/>
          </xdr:nvSpPr>
          <xdr:spPr>
            <a:xfrm>
              <a:off x="7891463" y="8158163"/>
              <a:ext cx="5429250" cy="324384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〖𝑃𝑎𝑦𝑜𝑓𝑓 𝐶𝑎𝑙𝑙 : (𝑆_𝑡−𝐾)〗^+=max⁡(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𝑆_𝑡−K;0)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/>
                  <a:sym typeface="Arial"/>
                </a:rPr>
                <a:t>−〖𝑃𝑟𝑖𝑥〗_𝑂𝑝𝑡𝑖𝑜𝑛</a:t>
              </a:r>
              <a:endParaRPr lang="fr-FR"/>
            </a:p>
          </xdr:txBody>
        </xdr:sp>
      </mc:Fallback>
    </mc:AlternateContent>
    <xdr:clientData/>
  </xdr:twoCellAnchor>
  <xdr:twoCellAnchor>
    <xdr:from>
      <xdr:col>9</xdr:col>
      <xdr:colOff>457201</xdr:colOff>
      <xdr:row>23</xdr:row>
      <xdr:rowOff>152400</xdr:rowOff>
    </xdr:from>
    <xdr:to>
      <xdr:col>16</xdr:col>
      <xdr:colOff>752475</xdr:colOff>
      <xdr:row>25</xdr:row>
      <xdr:rowOff>114834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ZoneTexte 11">
              <a:extLst>
                <a:ext uri="{FF2B5EF4-FFF2-40B4-BE49-F238E27FC236}">
                  <a16:creationId xmlns:a16="http://schemas.microsoft.com/office/drawing/2014/main" id="{F00C8DE5-EBBD-4C53-AAC6-A54D74EEB8FA}"/>
                </a:ext>
              </a:extLst>
            </xdr:cNvPr>
            <xdr:cNvSpPr txBox="1"/>
          </xdr:nvSpPr>
          <xdr:spPr>
            <a:xfrm>
              <a:off x="7896226" y="8639175"/>
              <a:ext cx="5434012" cy="324384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𝑃𝑎𝑦𝑜𝑓𝑓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𝑃𝑢𝑡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:  (</m:t>
                        </m:r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 </m:t>
                            </m:r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fr-FR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max</m:t>
                        </m:r>
                      </m:fName>
                      <m:e>
                        <m:d>
                          <m:d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Arial"/>
                                    <a:cs typeface="Arial"/>
                                    <a:sym typeface="Arial"/>
                                  </a:rPr>
                                </m:ctrlPr>
                              </m:sSubPr>
                              <m:e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Arial"/>
                                    <a:cs typeface="Arial"/>
                                    <a:sym typeface="Arial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Arial"/>
                                    <a:cs typeface="Arial"/>
                                    <a:sym typeface="Arial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fr-FR" sz="1400" b="0" i="0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Arial"/>
                                <a:cs typeface="Arial"/>
                                <a:sym typeface="Arial"/>
                              </a:rPr>
                              <m:t>;0</m:t>
                            </m:r>
                          </m:e>
                        </m:d>
                      </m:e>
                    </m:func>
                    <m:r>
                      <a:rPr lang="fr-FR" sz="1400" b="0" i="1" u="none" strike="noStrike" cap="none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Arial"/>
                        <a:sym typeface="Arial"/>
                      </a:rPr>
                      <m:t>−</m:t>
                    </m:r>
                    <m:sSub>
                      <m:sSubPr>
                        <m:ctrlP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/>
                            <a:sym typeface="Arial"/>
                          </a:rPr>
                        </m:ctrlPr>
                      </m:sSubPr>
                      <m:e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/>
                            <a:sym typeface="Arial"/>
                          </a:rPr>
                          <m:t>𝑃𝑟𝑖𝑥</m:t>
                        </m:r>
                      </m:e>
                      <m:sub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/>
                            <a:sym typeface="Arial"/>
                          </a:rPr>
                          <m:t>𝑂𝑝𝑡𝑖𝑜𝑛</m:t>
                        </m:r>
                      </m:sub>
                    </m:sSub>
                  </m:oMath>
                </m:oMathPara>
              </a14:m>
              <a:endParaRPr lang="fr-FR"/>
            </a:p>
          </xdr:txBody>
        </xdr:sp>
      </mc:Choice>
      <mc:Fallback xmlns="">
        <xdr:sp macro="" textlink="">
          <xdr:nvSpPr>
            <xdr:cNvPr id="12" name="ZoneTexte 11">
              <a:extLst>
                <a:ext uri="{FF2B5EF4-FFF2-40B4-BE49-F238E27FC236}">
                  <a16:creationId xmlns:a16="http://schemas.microsoft.com/office/drawing/2014/main" id="{F00C8DE5-EBBD-4C53-AAC6-A54D74EEB8FA}"/>
                </a:ext>
              </a:extLst>
            </xdr:cNvPr>
            <xdr:cNvSpPr txBox="1"/>
          </xdr:nvSpPr>
          <xdr:spPr>
            <a:xfrm>
              <a:off x="7896226" y="8639175"/>
              <a:ext cx="5434012" cy="324384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〖𝑃𝑎𝑦𝑜𝑓𝑓 𝑃𝑢𝑡 :  (〖𝐾− 𝑆〗_𝑡)〗^+=max⁡(𝐾−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𝑆_𝑡;0)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/>
                  <a:sym typeface="Arial"/>
                </a:rPr>
                <a:t>−〖𝑃𝑟𝑖𝑥〗_𝑂𝑝𝑡𝑖𝑜𝑛</a:t>
              </a:r>
              <a:endParaRPr lang="fr-FR"/>
            </a:p>
          </xdr:txBody>
        </xdr:sp>
      </mc:Fallback>
    </mc:AlternateContent>
    <xdr:clientData/>
  </xdr:twoCellAnchor>
  <xdr:twoCellAnchor>
    <xdr:from>
      <xdr:col>0</xdr:col>
      <xdr:colOff>245268</xdr:colOff>
      <xdr:row>21</xdr:row>
      <xdr:rowOff>76201</xdr:rowOff>
    </xdr:from>
    <xdr:to>
      <xdr:col>4</xdr:col>
      <xdr:colOff>152400</xdr:colOff>
      <xdr:row>36</xdr:row>
      <xdr:rowOff>4763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6216083-B5A8-53C9-6AF4-AB820FB66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309563</xdr:colOff>
      <xdr:row>3</xdr:row>
      <xdr:rowOff>9525</xdr:rowOff>
    </xdr:from>
    <xdr:to>
      <xdr:col>2</xdr:col>
      <xdr:colOff>709613</xdr:colOff>
      <xdr:row>4</xdr:row>
      <xdr:rowOff>135750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5639DEA9-ECFF-458A-B34B-5949EE8DE948}"/>
                </a:ext>
              </a:extLst>
            </xdr:cNvPr>
            <xdr:cNvSpPr txBox="1"/>
          </xdr:nvSpPr>
          <xdr:spPr>
            <a:xfrm>
              <a:off x="309563" y="576263"/>
              <a:ext cx="1924050" cy="30720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</m:t>
                        </m:r>
                      </m:sub>
                    </m:sSub>
                    <m:r>
                      <a:rPr lang="fr-FR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</m:ctrlPr>
                      </m:sSupPr>
                      <m:e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𝑒</m:t>
                        </m:r>
                      </m:e>
                      <m:sup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−</m:t>
                        </m:r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𝑞𝑇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r-FR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5639DEA9-ECFF-458A-B34B-5949EE8DE948}"/>
                </a:ext>
              </a:extLst>
            </xdr:cNvPr>
            <xdr:cNvSpPr txBox="1"/>
          </xdr:nvSpPr>
          <xdr:spPr>
            <a:xfrm>
              <a:off x="309563" y="576263"/>
              <a:ext cx="1924050" cy="30720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∆_𝐶=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𝑒^(−𝑞𝑇)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/>
                  <a:sym typeface="Arial"/>
                </a:rPr>
                <a:t> </a:t>
              </a:r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𝑁(𝑑_1 )</a:t>
              </a:r>
              <a:endParaRPr lang="fr-FR"/>
            </a:p>
          </xdr:txBody>
        </xdr:sp>
      </mc:Fallback>
    </mc:AlternateContent>
    <xdr:clientData/>
  </xdr:twoCellAnchor>
  <xdr:twoCellAnchor>
    <xdr:from>
      <xdr:col>4</xdr:col>
      <xdr:colOff>490539</xdr:colOff>
      <xdr:row>2</xdr:row>
      <xdr:rowOff>176212</xdr:rowOff>
    </xdr:from>
    <xdr:to>
      <xdr:col>7</xdr:col>
      <xdr:colOff>185739</xdr:colOff>
      <xdr:row>4</xdr:row>
      <xdr:rowOff>121462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7">
              <a:extLst>
                <a:ext uri="{FF2B5EF4-FFF2-40B4-BE49-F238E27FC236}">
                  <a16:creationId xmlns:a16="http://schemas.microsoft.com/office/drawing/2014/main" id="{92AE900B-12D9-4261-889E-5A54277443F9}"/>
                </a:ext>
              </a:extLst>
            </xdr:cNvPr>
            <xdr:cNvSpPr txBox="1"/>
          </xdr:nvSpPr>
          <xdr:spPr>
            <a:xfrm>
              <a:off x="3538539" y="561975"/>
              <a:ext cx="1981200" cy="30720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</m:ctrlPr>
                      </m:sSubPr>
                      <m:e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∆</m:t>
                        </m:r>
                      </m:e>
                      <m:sub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𝑃</m:t>
                        </m:r>
                      </m:sub>
                    </m:sSub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</m:ctrlPr>
                      </m:sSupPr>
                      <m:e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𝑒</m:t>
                        </m:r>
                      </m:e>
                      <m:sup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−</m:t>
                        </m:r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𝑞𝑇</m:t>
                        </m:r>
                      </m:sup>
                    </m:sSup>
                    <m:r>
                      <a:rPr lang="fr-FR" sz="1400" b="0" i="1" u="none" strike="noStrike" cap="none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Arial"/>
                        <a:cs typeface="Arial"/>
                        <a:sym typeface="Arial"/>
                      </a:rPr>
                      <m:t>(</m:t>
                    </m:r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−1)</m:t>
                    </m:r>
                  </m:oMath>
                </m:oMathPara>
              </a14:m>
              <a:endParaRPr lang="fr-FR"/>
            </a:p>
          </xdr:txBody>
        </xdr:sp>
      </mc:Choice>
      <mc:Fallback xmlns="">
        <xdr:sp macro="" textlink="">
          <xdr:nvSpPr>
            <xdr:cNvPr id="3" name="ZoneTexte 7">
              <a:extLst>
                <a:ext uri="{FF2B5EF4-FFF2-40B4-BE49-F238E27FC236}">
                  <a16:creationId xmlns:a16="http://schemas.microsoft.com/office/drawing/2014/main" id="{92AE900B-12D9-4261-889E-5A54277443F9}"/>
                </a:ext>
              </a:extLst>
            </xdr:cNvPr>
            <xdr:cNvSpPr txBox="1"/>
          </xdr:nvSpPr>
          <xdr:spPr>
            <a:xfrm>
              <a:off x="3538539" y="561975"/>
              <a:ext cx="1981200" cy="30720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Arial"/>
                  <a:ea typeface="Arial"/>
                  <a:cs typeface="Arial"/>
                  <a:sym typeface="Arial"/>
                </a:rPr>
                <a:t>∆_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𝑃</a:t>
              </a:r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𝑒^(−𝑞𝑇) (</a:t>
              </a:r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𝑁(𝑑_1 )−1)</a:t>
              </a:r>
              <a:endParaRPr lang="fr-FR"/>
            </a:p>
          </xdr:txBody>
        </xdr:sp>
      </mc:Fallback>
    </mc:AlternateContent>
    <xdr:clientData/>
  </xdr:twoCellAnchor>
  <xdr:twoCellAnchor>
    <xdr:from>
      <xdr:col>2</xdr:col>
      <xdr:colOff>519112</xdr:colOff>
      <xdr:row>9</xdr:row>
      <xdr:rowOff>85725</xdr:rowOff>
    </xdr:from>
    <xdr:to>
      <xdr:col>5</xdr:col>
      <xdr:colOff>371473</xdr:colOff>
      <xdr:row>12</xdr:row>
      <xdr:rowOff>130781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F3D1C187-DF96-4BCA-B388-810D81BD2D4D}"/>
                </a:ext>
              </a:extLst>
            </xdr:cNvPr>
            <xdr:cNvSpPr txBox="1"/>
          </xdr:nvSpPr>
          <xdr:spPr>
            <a:xfrm>
              <a:off x="2043112" y="1771650"/>
              <a:ext cx="2138361" cy="587981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  <m:r>
                      <a:rPr lang="fr-FR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Arial"/>
                                <a:cs typeface="Arial"/>
                                <a:sym typeface="Arial"/>
                              </a:rPr>
                            </m:ctrlPr>
                          </m:sSupPr>
                          <m:e>
                            <m: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Arial"/>
                                <a:cs typeface="Arial"/>
                                <a:sym typeface="Arial"/>
                              </a:rPr>
                              <m:t>𝑒</m:t>
                            </m:r>
                          </m:e>
                          <m:sup>
                            <m: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Arial"/>
                                <a:cs typeface="Arial"/>
                                <a:sym typeface="Arial"/>
                              </a:rPr>
                              <m:t>−</m:t>
                            </m:r>
                            <m: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Arial"/>
                                <a:cs typeface="Arial"/>
                                <a:sym typeface="Arial"/>
                              </a:rPr>
                              <m:t>𝑞𝑇</m:t>
                            </m:r>
                          </m:sup>
                        </m:sSup>
                      </m:num>
                      <m:den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</m:rad>
                      </m:den>
                    </m:f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′</m:t>
                    </m:r>
                    <m:d>
                      <m:d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r-FR"/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F3D1C187-DF96-4BCA-B388-810D81BD2D4D}"/>
                </a:ext>
              </a:extLst>
            </xdr:cNvPr>
            <xdr:cNvSpPr txBox="1"/>
          </xdr:nvSpPr>
          <xdr:spPr>
            <a:xfrm>
              <a:off x="2043112" y="1771650"/>
              <a:ext cx="2138361" cy="587981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:r>
                <a:rPr lang="el-G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𝑒^(−𝑞𝑇)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/>
                  <a:sym typeface="Arial"/>
                </a:rPr>
                <a:t>/(</a:t>
              </a:r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𝑆_0 𝜎√𝑇) 𝑁′(𝑑_1 )</a:t>
              </a:r>
              <a:endParaRPr lang="fr-FR"/>
            </a:p>
          </xdr:txBody>
        </xdr:sp>
      </mc:Fallback>
    </mc:AlternateContent>
    <xdr:clientData/>
  </xdr:twoCellAnchor>
  <xdr:twoCellAnchor>
    <xdr:from>
      <xdr:col>2</xdr:col>
      <xdr:colOff>219075</xdr:colOff>
      <xdr:row>16</xdr:row>
      <xdr:rowOff>57150</xdr:rowOff>
    </xdr:from>
    <xdr:to>
      <xdr:col>5</xdr:col>
      <xdr:colOff>628650</xdr:colOff>
      <xdr:row>19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38D6904D-B94E-4AFA-B6AC-5E1F95D038B3}"/>
                </a:ext>
              </a:extLst>
            </xdr:cNvPr>
            <xdr:cNvSpPr txBox="1"/>
          </xdr:nvSpPr>
          <xdr:spPr>
            <a:xfrm>
              <a:off x="1743075" y="3405188"/>
              <a:ext cx="2695575" cy="5524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no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fr-FR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V</m:t>
                    </m:r>
                    <m:r>
                      <a:rPr lang="fr-FR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100</m:t>
                        </m:r>
                      </m:den>
                    </m:f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sSup>
                      <m:sSup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𝑞𝑡</m:t>
                        </m:r>
                      </m:sup>
                    </m:sSup>
                    <m:rad>
                      <m:radPr>
                        <m:degHide m:val="on"/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</m:rad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′(</m:t>
                    </m:r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fr-FR"/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38D6904D-B94E-4AFA-B6AC-5E1F95D038B3}"/>
                </a:ext>
              </a:extLst>
            </xdr:cNvPr>
            <xdr:cNvSpPr txBox="1"/>
          </xdr:nvSpPr>
          <xdr:spPr>
            <a:xfrm>
              <a:off x="1743075" y="3405188"/>
              <a:ext cx="2695575" cy="5524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no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V=1/100 𝑆_0 𝑒^(−𝑞𝑡) √𝑇 𝑁′(𝑑_1)</a:t>
              </a:r>
              <a:endParaRPr lang="fr-FR"/>
            </a:p>
          </xdr:txBody>
        </xdr:sp>
      </mc:Fallback>
    </mc:AlternateContent>
    <xdr:clientData/>
  </xdr:twoCellAnchor>
  <xdr:twoCellAnchor>
    <xdr:from>
      <xdr:col>0</xdr:col>
      <xdr:colOff>338138</xdr:colOff>
      <xdr:row>25</xdr:row>
      <xdr:rowOff>9525</xdr:rowOff>
    </xdr:from>
    <xdr:to>
      <xdr:col>2</xdr:col>
      <xdr:colOff>738188</xdr:colOff>
      <xdr:row>26</xdr:row>
      <xdr:rowOff>135750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ZoneTexte 7">
              <a:extLst>
                <a:ext uri="{FF2B5EF4-FFF2-40B4-BE49-F238E27FC236}">
                  <a16:creationId xmlns:a16="http://schemas.microsoft.com/office/drawing/2014/main" id="{5ADD7F20-5C99-4DFB-B411-682FEE0EA39F}"/>
                </a:ext>
              </a:extLst>
            </xdr:cNvPr>
            <xdr:cNvSpPr txBox="1"/>
          </xdr:nvSpPr>
          <xdr:spPr>
            <a:xfrm>
              <a:off x="338138" y="4833938"/>
              <a:ext cx="1924050" cy="30720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fr-FR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</m:ctrlPr>
                      </m:sSupPr>
                      <m:e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𝐾𝑇𝑒</m:t>
                        </m:r>
                      </m:e>
                      <m:sup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−</m:t>
                        </m:r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𝑟𝑇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r-FR"/>
            </a:p>
          </xdr:txBody>
        </xdr:sp>
      </mc:Choice>
      <mc:Fallback xmlns="">
        <xdr:sp macro="" textlink="">
          <xdr:nvSpPr>
            <xdr:cNvPr id="8" name="ZoneTexte 7">
              <a:extLst>
                <a:ext uri="{FF2B5EF4-FFF2-40B4-BE49-F238E27FC236}">
                  <a16:creationId xmlns:a16="http://schemas.microsoft.com/office/drawing/2014/main" id="{5ADD7F20-5C99-4DFB-B411-682FEE0EA39F}"/>
                </a:ext>
              </a:extLst>
            </xdr:cNvPr>
            <xdr:cNvSpPr txBox="1"/>
          </xdr:nvSpPr>
          <xdr:spPr>
            <a:xfrm>
              <a:off x="338138" y="4833938"/>
              <a:ext cx="1924050" cy="30720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𝜌_𝑐=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cs typeface="Arial"/>
                  <a:sym typeface="Arial"/>
                </a:rPr>
                <a:t>〖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𝐾𝑇𝑒〗^(−𝑟𝑇)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/>
                  <a:sym typeface="Arial"/>
                </a:rPr>
                <a:t> </a:t>
              </a:r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𝑁(𝑑_2 )</a:t>
              </a:r>
              <a:endParaRPr lang="fr-FR"/>
            </a:p>
          </xdr:txBody>
        </xdr:sp>
      </mc:Fallback>
    </mc:AlternateContent>
    <xdr:clientData/>
  </xdr:twoCellAnchor>
  <xdr:twoCellAnchor>
    <xdr:from>
      <xdr:col>4</xdr:col>
      <xdr:colOff>471488</xdr:colOff>
      <xdr:row>25</xdr:row>
      <xdr:rowOff>14287</xdr:rowOff>
    </xdr:from>
    <xdr:to>
      <xdr:col>7</xdr:col>
      <xdr:colOff>185737</xdr:colOff>
      <xdr:row>26</xdr:row>
      <xdr:rowOff>140512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ZoneTexte 8">
              <a:extLst>
                <a:ext uri="{FF2B5EF4-FFF2-40B4-BE49-F238E27FC236}">
                  <a16:creationId xmlns:a16="http://schemas.microsoft.com/office/drawing/2014/main" id="{F50C6444-B088-4A8E-AFF6-8B20E6579D80}"/>
                </a:ext>
              </a:extLst>
            </xdr:cNvPr>
            <xdr:cNvSpPr txBox="1"/>
          </xdr:nvSpPr>
          <xdr:spPr>
            <a:xfrm>
              <a:off x="3519488" y="4838700"/>
              <a:ext cx="2000249" cy="30720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b>
                    </m:sSub>
                    <m:r>
                      <a:rPr lang="fr-FR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</m:ctrlPr>
                      </m:sSupPr>
                      <m:e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−</m:t>
                        </m:r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𝐾𝑇𝑒</m:t>
                        </m:r>
                      </m:e>
                      <m:sup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−</m:t>
                        </m:r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𝑟𝑇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fr-FR"/>
            </a:p>
          </xdr:txBody>
        </xdr:sp>
      </mc:Choice>
      <mc:Fallback xmlns="">
        <xdr:sp macro="" textlink="">
          <xdr:nvSpPr>
            <xdr:cNvPr id="9" name="ZoneTexte 8">
              <a:extLst>
                <a:ext uri="{FF2B5EF4-FFF2-40B4-BE49-F238E27FC236}">
                  <a16:creationId xmlns:a16="http://schemas.microsoft.com/office/drawing/2014/main" id="{F50C6444-B088-4A8E-AFF6-8B20E6579D80}"/>
                </a:ext>
              </a:extLst>
            </xdr:cNvPr>
            <xdr:cNvSpPr txBox="1"/>
          </xdr:nvSpPr>
          <xdr:spPr>
            <a:xfrm>
              <a:off x="3519488" y="4838700"/>
              <a:ext cx="2000249" cy="30720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𝜌_𝑃=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cs typeface="Arial"/>
                  <a:sym typeface="Arial"/>
                </a:rPr>
                <a:t>〖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−𝐾𝑇𝑒〗^(−𝑟𝑇)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/>
                  <a:sym typeface="Arial"/>
                </a:rPr>
                <a:t> </a:t>
              </a:r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𝑁(〖−𝑑〗_2 )</a:t>
              </a:r>
              <a:endParaRPr lang="fr-FR"/>
            </a:p>
          </xdr:txBody>
        </xdr:sp>
      </mc:Fallback>
    </mc:AlternateContent>
    <xdr:clientData/>
  </xdr:twoCellAnchor>
  <xdr:twoCellAnchor>
    <xdr:from>
      <xdr:col>0</xdr:col>
      <xdr:colOff>476250</xdr:colOff>
      <xdr:row>32</xdr:row>
      <xdr:rowOff>76200</xdr:rowOff>
    </xdr:from>
    <xdr:to>
      <xdr:col>7</xdr:col>
      <xdr:colOff>176212</xdr:colOff>
      <xdr:row>35</xdr:row>
      <xdr:rowOff>98238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ZoneTexte 9">
              <a:extLst>
                <a:ext uri="{FF2B5EF4-FFF2-40B4-BE49-F238E27FC236}">
                  <a16:creationId xmlns:a16="http://schemas.microsoft.com/office/drawing/2014/main" id="{ECD3F623-ABCA-4B60-AF0B-081B4A4EE3CA}"/>
                </a:ext>
              </a:extLst>
            </xdr:cNvPr>
            <xdr:cNvSpPr txBox="1"/>
          </xdr:nvSpPr>
          <xdr:spPr>
            <a:xfrm>
              <a:off x="476250" y="6005513"/>
              <a:ext cx="5033962" cy="564963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fr-FR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100</m:t>
                        </m:r>
                      </m:den>
                    </m:f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sSup>
                      <m:sSupPr>
                        <m:ctrlP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</m:ctrlPr>
                      </m:sSupPr>
                      <m:e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−</m:t>
                        </m:r>
                        <m:f>
                          <m:fPr>
                            <m:ctrlP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cs typeface="Arial"/>
                                <a:sym typeface="Arial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</m:ctrlPr>
                              </m:sSubPr>
                              <m:e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0</m:t>
                                </m:r>
                              </m:sub>
                            </m:sSub>
                            <m:sSup>
                              <m:sSupPr>
                                <m:ctrlP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</m:ctrlPr>
                              </m:sSupPr>
                              <m:e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−</m:t>
                                </m:r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𝑞𝑇</m:t>
                                </m:r>
                              </m:sup>
                            </m:sSup>
                            <m:sSup>
                              <m:sSupPr>
                                <m:ctrlP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</m:ctrlPr>
                              </m:sSupPr>
                              <m:e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𝑁</m:t>
                                </m:r>
                              </m:e>
                              <m:sup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′</m:t>
                                </m:r>
                              </m:sup>
                            </m:sSup>
                            <m:d>
                              <m:dPr>
                                <m:ctrlP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fr-FR" sz="1400" b="0" i="1" u="none" strike="noStrike" cap="none">
                                        <a:solidFill>
                                          <a:srgbClr val="000000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cs typeface="Arial"/>
                                        <a:sym typeface="Arial"/>
                                      </a:rPr>
                                    </m:ctrlPr>
                                  </m:sSubPr>
                                  <m:e>
                                    <m:r>
                                      <a:rPr lang="fr-FR" sz="1400" b="0" i="1" u="none" strike="noStrike" cap="none">
                                        <a:solidFill>
                                          <a:srgbClr val="000000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cs typeface="Arial"/>
                                        <a:sym typeface="Arial"/>
                                      </a:rPr>
                                      <m:t>𝑑</m:t>
                                    </m:r>
                                  </m:e>
                                  <m:sub>
                                    <m:r>
                                      <a:rPr lang="fr-FR" sz="1400" b="0" i="1" u="none" strike="noStrike" cap="none">
                                        <a:solidFill>
                                          <a:srgbClr val="000000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cs typeface="Arial"/>
                                        <a:sym typeface="Arial"/>
                                      </a:rPr>
                                      <m:t>1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/>
                                <a:sym typeface="Arial"/>
                              </a:rPr>
                              <m:t>𝜎</m:t>
                            </m:r>
                          </m:num>
                          <m:den>
                            <m: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cs typeface="Arial"/>
                                <a:sym typeface="Arial"/>
                              </a:rPr>
                              <m:t>2</m:t>
                            </m:r>
                            <m:rad>
                              <m:radPr>
                                <m:degHide m:val="on"/>
                                <m:ctrlP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𝑇</m:t>
                                </m:r>
                              </m:e>
                            </m:rad>
                          </m:den>
                        </m:f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−</m:t>
                        </m:r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𝑟𝐾𝑒</m:t>
                        </m:r>
                      </m:e>
                      <m:sup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−</m:t>
                        </m:r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𝑟𝑇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𝑞</m:t>
                    </m:r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sSup>
                      <m:sSup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𝑞𝑇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fr-FR"/>
            </a:p>
          </xdr:txBody>
        </xdr:sp>
      </mc:Choice>
      <mc:Fallback xmlns="">
        <xdr:sp macro="" textlink="">
          <xdr:nvSpPr>
            <xdr:cNvPr id="10" name="ZoneTexte 9">
              <a:extLst>
                <a:ext uri="{FF2B5EF4-FFF2-40B4-BE49-F238E27FC236}">
                  <a16:creationId xmlns:a16="http://schemas.microsoft.com/office/drawing/2014/main" id="{ECD3F623-ABCA-4B60-AF0B-081B4A4EE3CA}"/>
                </a:ext>
              </a:extLst>
            </xdr:cNvPr>
            <xdr:cNvSpPr txBox="1"/>
          </xdr:nvSpPr>
          <xdr:spPr>
            <a:xfrm>
              <a:off x="476250" y="6005513"/>
              <a:ext cx="5033962" cy="564963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𝜃_𝑐=1/100(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cs typeface="Arial"/>
                  <a:sym typeface="Arial"/>
                </a:rPr>
                <a:t>〖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−(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cs typeface="Arial"/>
                  <a:sym typeface="Arial"/>
                </a:rPr>
                <a:t>𝑆_0 𝑒^(−𝑞𝑇) 𝑁^′ (𝑑_1 )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/>
                  <a:sym typeface="Arial"/>
                </a:rPr>
                <a:t>𝜎)/(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cs typeface="Arial"/>
                  <a:sym typeface="Arial"/>
                </a:rPr>
                <a:t>2√𝑇)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−𝑟𝐾𝑒〗^(−𝑟𝑇)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/>
                  <a:sym typeface="Arial"/>
                </a:rPr>
                <a:t> </a:t>
              </a:r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𝑁(𝑑_2 )+𝑞𝑆_0 𝑒^(−𝑞𝑇) 𝑁(𝑑_1 ))</a:t>
              </a:r>
              <a:endParaRPr lang="fr-FR"/>
            </a:p>
          </xdr:txBody>
        </xdr:sp>
      </mc:Fallback>
    </mc:AlternateContent>
    <xdr:clientData/>
  </xdr:twoCellAnchor>
  <xdr:twoCellAnchor>
    <xdr:from>
      <xdr:col>0</xdr:col>
      <xdr:colOff>304800</xdr:colOff>
      <xdr:row>36</xdr:row>
      <xdr:rowOff>66675</xdr:rowOff>
    </xdr:from>
    <xdr:to>
      <xdr:col>7</xdr:col>
      <xdr:colOff>361950</xdr:colOff>
      <xdr:row>39</xdr:row>
      <xdr:rowOff>88713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ZoneTexte 12">
              <a:extLst>
                <a:ext uri="{FF2B5EF4-FFF2-40B4-BE49-F238E27FC236}">
                  <a16:creationId xmlns:a16="http://schemas.microsoft.com/office/drawing/2014/main" id="{F0B50895-B3A6-426A-B964-C53524125A76}"/>
                </a:ext>
              </a:extLst>
            </xdr:cNvPr>
            <xdr:cNvSpPr txBox="1"/>
          </xdr:nvSpPr>
          <xdr:spPr>
            <a:xfrm>
              <a:off x="304800" y="6719888"/>
              <a:ext cx="5391150" cy="564963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b>
                    </m:sSub>
                    <m:r>
                      <a:rPr lang="fr-FR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</m:ctrlPr>
                      </m:sSupPr>
                      <m:e>
                        <m:f>
                          <m:fPr>
                            <m:ctrlP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cs typeface="Arial"/>
                                <a:sym typeface="Arial"/>
                              </a:rPr>
                            </m:ctrlPr>
                          </m:fPr>
                          <m:num>
                            <m: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cs typeface="Arial"/>
                                <a:sym typeface="Arial"/>
                              </a:rPr>
                              <m:t>1</m:t>
                            </m:r>
                          </m:num>
                          <m:den>
                            <m: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cs typeface="Arial"/>
                                <a:sym typeface="Arial"/>
                              </a:rPr>
                              <m:t>100</m:t>
                            </m:r>
                          </m:den>
                        </m:f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(−</m:t>
                        </m:r>
                        <m:f>
                          <m:fPr>
                            <m:ctrlP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cs typeface="Arial"/>
                                <a:sym typeface="Arial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</m:ctrlPr>
                              </m:sSubPr>
                              <m:e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0</m:t>
                                </m:r>
                              </m:sub>
                            </m:sSub>
                            <m:sSup>
                              <m:sSupPr>
                                <m:ctrlP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</m:ctrlPr>
                              </m:sSupPr>
                              <m:e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−</m:t>
                                </m:r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𝑞𝑇</m:t>
                                </m:r>
                              </m:sup>
                            </m:sSup>
                            <m:sSup>
                              <m:sSupPr>
                                <m:ctrlP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</m:ctrlPr>
                              </m:sSupPr>
                              <m:e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𝑁</m:t>
                                </m:r>
                              </m:e>
                              <m:sup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′</m:t>
                                </m:r>
                              </m:sup>
                            </m:sSup>
                            <m:d>
                              <m:dPr>
                                <m:ctrlP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fr-FR" sz="1400" b="0" i="1" u="none" strike="noStrike" cap="none">
                                        <a:solidFill>
                                          <a:srgbClr val="000000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cs typeface="Arial"/>
                                        <a:sym typeface="Arial"/>
                                      </a:rPr>
                                    </m:ctrlPr>
                                  </m:sSubPr>
                                  <m:e>
                                    <m:r>
                                      <a:rPr lang="fr-FR" sz="1400" b="0" i="1" u="none" strike="noStrike" cap="none">
                                        <a:solidFill>
                                          <a:srgbClr val="000000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cs typeface="Arial"/>
                                        <a:sym typeface="Arial"/>
                                      </a:rPr>
                                      <m:t>𝑑</m:t>
                                    </m:r>
                                  </m:e>
                                  <m:sub>
                                    <m:r>
                                      <a:rPr lang="fr-FR" sz="1400" b="0" i="1" u="none" strike="noStrike" cap="none">
                                        <a:solidFill>
                                          <a:srgbClr val="000000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cs typeface="Arial"/>
                                        <a:sym typeface="Arial"/>
                                      </a:rPr>
                                      <m:t>1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/>
                                <a:sym typeface="Arial"/>
                              </a:rPr>
                              <m:t>𝜎</m:t>
                            </m:r>
                          </m:num>
                          <m:den>
                            <m:r>
                              <a:rPr lang="fr-FR" sz="1400" b="0" i="1" u="none" strike="noStrike" cap="none">
                                <a:solidFill>
                                  <a:srgbClr val="000000"/>
                                </a:solidFill>
                                <a:effectLst/>
                                <a:latin typeface="Cambria Math" panose="02040503050406030204" pitchFamily="18" charset="0"/>
                                <a:cs typeface="Arial"/>
                                <a:sym typeface="Arial"/>
                              </a:rPr>
                              <m:t>2</m:t>
                            </m:r>
                            <m:rad>
                              <m:radPr>
                                <m:degHide m:val="on"/>
                                <m:ctrlP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fr-FR" sz="1400" b="0" i="1" u="none" strike="noStrike" cap="none">
                                    <a:solidFill>
                                      <a:srgbClr val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cs typeface="Arial"/>
                                    <a:sym typeface="Arial"/>
                                  </a:rPr>
                                  <m:t>𝑇</m:t>
                                </m:r>
                              </m:e>
                            </m:rad>
                          </m:den>
                        </m:f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cs typeface="Arial"/>
                            <a:sym typeface="Arial"/>
                          </a:rPr>
                          <m:t>+</m:t>
                        </m:r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𝑟𝐾𝑒</m:t>
                        </m:r>
                      </m:e>
                      <m:sup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−</m:t>
                        </m:r>
                        <m:r>
                          <a:rPr lang="fr-FR" sz="1400" b="0" i="1" u="none" strike="noStrike" cap="none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Arial"/>
                            <a:cs typeface="Arial"/>
                            <a:sym typeface="Arial"/>
                          </a:rPr>
                          <m:t>𝑟𝑇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fr-FR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𝑞</m:t>
                    </m:r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sSup>
                      <m:sSup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𝑞𝑇</m:t>
                        </m:r>
                      </m:sup>
                    </m:sSup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fr-FR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fr-FR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))</m:t>
                    </m:r>
                  </m:oMath>
                </m:oMathPara>
              </a14:m>
              <a:endParaRPr lang="fr-FR"/>
            </a:p>
          </xdr:txBody>
        </xdr:sp>
      </mc:Choice>
      <mc:Fallback xmlns="">
        <xdr:sp macro="" textlink="">
          <xdr:nvSpPr>
            <xdr:cNvPr id="13" name="ZoneTexte 12">
              <a:extLst>
                <a:ext uri="{FF2B5EF4-FFF2-40B4-BE49-F238E27FC236}">
                  <a16:creationId xmlns:a16="http://schemas.microsoft.com/office/drawing/2014/main" id="{F0B50895-B3A6-426A-B964-C53524125A76}"/>
                </a:ext>
              </a:extLst>
            </xdr:cNvPr>
            <xdr:cNvSpPr txBox="1"/>
          </xdr:nvSpPr>
          <xdr:spPr>
            <a:xfrm>
              <a:off x="304800" y="6719888"/>
              <a:ext cx="5391150" cy="564963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wrap="square" rtlCol="0">
              <a:spAutoFit/>
            </a:bodyPr>
            <a:lstStyle>
              <a:def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</a:defPPr>
              <a:lvl1pPr marR="0" lvl="0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1pPr>
              <a:lvl2pPr marR="0" lvl="1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2pPr>
              <a:lvl3pPr marR="0" lvl="2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3pPr>
              <a:lvl4pPr marR="0" lvl="3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4pPr>
              <a:lvl5pPr marR="0" lvl="4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5pPr>
              <a:lvl6pPr marR="0" lvl="5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6pPr>
              <a:lvl7pPr marR="0" lvl="6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7pPr>
              <a:lvl8pPr marR="0" lvl="7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8pPr>
              <a:lvl9pPr marR="0" lvl="8" algn="l" rtl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>
                  <a:srgbClr val="000000"/>
                </a:buClr>
                <a:buFont typeface="Arial"/>
                <a:defRPr sz="1400" b="0" i="0" u="none" strike="noStrike" cap="none">
                  <a:solidFill>
                    <a:srgbClr val="000000"/>
                  </a:solidFill>
                  <a:latin typeface="Arial"/>
                  <a:ea typeface="Arial"/>
                  <a:cs typeface="Arial"/>
                  <a:sym typeface="Arial"/>
                </a:defRPr>
              </a:lvl9pPr>
            </a:lstStyle>
            <a:p>
              <a:pPr/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𝜃_𝑃=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cs typeface="Arial"/>
                  <a:sym typeface="Arial"/>
                </a:rPr>
                <a:t>〖1/100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(−(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cs typeface="Arial"/>
                  <a:sym typeface="Arial"/>
                </a:rPr>
                <a:t>𝑆_0 𝑒^(−𝑞𝑇) 𝑁^′ (𝑑_1 )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/>
                  <a:sym typeface="Arial"/>
                </a:rPr>
                <a:t>𝜎)/(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cs typeface="Arial"/>
                  <a:sym typeface="Arial"/>
                </a:rPr>
                <a:t>2√𝑇)+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Arial"/>
                  <a:cs typeface="Arial"/>
                  <a:sym typeface="Arial"/>
                </a:rPr>
                <a:t>𝑟𝐾𝑒〗^(−𝑟𝑇)</a:t>
              </a:r>
              <a:r>
                <a:rPr lang="fr-FR" sz="1400" b="0" i="0" u="none" strike="noStrike" cap="none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/>
                  <a:sym typeface="Arial"/>
                </a:rPr>
                <a:t> </a:t>
              </a:r>
              <a:r>
                <a:rPr lang="fr-FR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𝑁(〖−𝑑〗_2 )−𝑞𝑆_0 𝑒^(−𝑞𝑇) 𝑁(〖−𝑑〗_1))</a:t>
              </a:r>
              <a:endParaRPr lang="fr-FR"/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Q221"/>
  <sheetViews>
    <sheetView showGridLines="0" tabSelected="1" workbookViewId="0">
      <selection activeCell="I9" sqref="I9"/>
    </sheetView>
  </sheetViews>
  <sheetFormatPr baseColWidth="10" defaultColWidth="9.06640625" defaultRowHeight="14.25" x14ac:dyDescent="0.45"/>
  <cols>
    <col min="1" max="1" width="3.53125" customWidth="1"/>
    <col min="2" max="2" width="19.86328125" customWidth="1"/>
    <col min="3" max="3" width="11.33203125" customWidth="1"/>
    <col min="4" max="4" width="23.53125" customWidth="1"/>
    <col min="5" max="5" width="6.59765625" customWidth="1"/>
    <col min="6" max="6" width="15" customWidth="1"/>
    <col min="7" max="7" width="11.06640625" customWidth="1"/>
    <col min="8" max="8" width="10.06640625" customWidth="1"/>
    <col min="9" max="9" width="6.59765625" customWidth="1"/>
    <col min="11" max="11" width="14.53125" customWidth="1"/>
    <col min="15" max="15" width="12.06640625" customWidth="1"/>
    <col min="17" max="17" width="15.796875" customWidth="1"/>
  </cols>
  <sheetData>
    <row r="1" spans="2:17" ht="14.65" thickBot="1" x14ac:dyDescent="0.5"/>
    <row r="2" spans="2:17" ht="16.149999999999999" thickBot="1" x14ac:dyDescent="0.55000000000000004">
      <c r="B2" s="11" t="s">
        <v>0</v>
      </c>
      <c r="C2" s="11" t="s">
        <v>1</v>
      </c>
      <c r="D2" s="11" t="s">
        <v>2</v>
      </c>
      <c r="F2" s="11" t="s">
        <v>23</v>
      </c>
      <c r="G2" s="11" t="s">
        <v>24</v>
      </c>
      <c r="H2" s="11" t="s">
        <v>25</v>
      </c>
      <c r="J2" s="41" t="s">
        <v>21</v>
      </c>
      <c r="K2" s="42"/>
      <c r="L2" s="42"/>
      <c r="M2" s="42"/>
      <c r="N2" s="42"/>
      <c r="O2" s="42"/>
      <c r="P2" s="42"/>
      <c r="Q2" s="43"/>
    </row>
    <row r="3" spans="2:17" x14ac:dyDescent="0.45">
      <c r="B3" s="10" t="s">
        <v>3</v>
      </c>
      <c r="C3" s="14">
        <v>50</v>
      </c>
      <c r="D3" s="10" t="s">
        <v>4</v>
      </c>
      <c r="F3" s="13">
        <v>1</v>
      </c>
      <c r="G3" s="20">
        <f t="shared" ref="G3:G23" si="0">MAX($F3-K,0)-$C$19</f>
        <v>-9.1168327130289626</v>
      </c>
      <c r="H3" s="20">
        <f t="shared" ref="H3:H23" si="1">MAX(K-$F3,0)-$C$20</f>
        <v>34.626208219431753</v>
      </c>
      <c r="J3" s="1"/>
      <c r="K3" s="2"/>
      <c r="L3" s="2"/>
      <c r="M3" s="2"/>
      <c r="N3" s="2"/>
      <c r="O3" s="2"/>
      <c r="P3" s="2"/>
      <c r="Q3" s="3"/>
    </row>
    <row r="4" spans="2:17" x14ac:dyDescent="0.45">
      <c r="B4" s="10" t="s">
        <v>5</v>
      </c>
      <c r="C4" s="14">
        <v>40</v>
      </c>
      <c r="D4" s="10" t="s">
        <v>6</v>
      </c>
      <c r="F4" s="13">
        <v>5</v>
      </c>
      <c r="G4" s="20">
        <f t="shared" si="0"/>
        <v>-9.1168327130289626</v>
      </c>
      <c r="H4" s="20">
        <f t="shared" si="1"/>
        <v>30.626208219431753</v>
      </c>
      <c r="J4" s="4"/>
      <c r="Q4" s="5"/>
    </row>
    <row r="5" spans="2:17" x14ac:dyDescent="0.45">
      <c r="B5" s="10" t="s">
        <v>7</v>
      </c>
      <c r="C5" s="14">
        <v>2</v>
      </c>
      <c r="D5" s="10" t="s">
        <v>8</v>
      </c>
      <c r="F5" s="13">
        <f>F4+5</f>
        <v>10</v>
      </c>
      <c r="G5" s="20">
        <f t="shared" si="0"/>
        <v>-9.1168327130289626</v>
      </c>
      <c r="H5" s="20">
        <f t="shared" si="1"/>
        <v>25.626208219431753</v>
      </c>
      <c r="J5" s="4"/>
      <c r="Q5" s="5"/>
    </row>
    <row r="6" spans="2:17" x14ac:dyDescent="0.45">
      <c r="B6" s="10" t="s">
        <v>9</v>
      </c>
      <c r="C6" s="40">
        <v>0.3</v>
      </c>
      <c r="D6" s="10" t="s">
        <v>10</v>
      </c>
      <c r="F6" s="13">
        <f t="shared" ref="F6:F23" si="2">F5+5</f>
        <v>15</v>
      </c>
      <c r="G6" s="20">
        <f t="shared" si="0"/>
        <v>-9.1168327130289626</v>
      </c>
      <c r="H6" s="20">
        <f t="shared" si="1"/>
        <v>20.626208219431753</v>
      </c>
      <c r="J6" s="4"/>
      <c r="Q6" s="5"/>
    </row>
    <row r="7" spans="2:17" x14ac:dyDescent="0.45">
      <c r="B7" s="10" t="s">
        <v>11</v>
      </c>
      <c r="C7" s="40">
        <v>0.05</v>
      </c>
      <c r="D7" s="10" t="s">
        <v>12</v>
      </c>
      <c r="F7" s="13">
        <f t="shared" si="2"/>
        <v>20</v>
      </c>
      <c r="G7" s="20">
        <f t="shared" si="0"/>
        <v>-9.1168327130289626</v>
      </c>
      <c r="H7" s="20">
        <f t="shared" si="1"/>
        <v>15.626208219431753</v>
      </c>
      <c r="J7" s="4"/>
      <c r="Q7" s="5"/>
    </row>
    <row r="8" spans="2:17" x14ac:dyDescent="0.45">
      <c r="B8" s="10" t="s">
        <v>13</v>
      </c>
      <c r="C8" s="40">
        <v>0.1</v>
      </c>
      <c r="D8" s="10" t="s">
        <v>14</v>
      </c>
      <c r="F8" s="13">
        <f t="shared" si="2"/>
        <v>25</v>
      </c>
      <c r="G8" s="20">
        <f t="shared" si="0"/>
        <v>-9.1168327130289626</v>
      </c>
      <c r="H8" s="20">
        <f t="shared" si="1"/>
        <v>10.626208219431753</v>
      </c>
      <c r="J8" s="4"/>
      <c r="Q8" s="5"/>
    </row>
    <row r="9" spans="2:17" x14ac:dyDescent="0.45">
      <c r="F9" s="13">
        <f t="shared" si="2"/>
        <v>30</v>
      </c>
      <c r="G9" s="20">
        <f t="shared" si="0"/>
        <v>-9.1168327130289626</v>
      </c>
      <c r="H9" s="20">
        <f t="shared" si="1"/>
        <v>5.6262082194317529</v>
      </c>
      <c r="J9" s="6" t="s">
        <v>22</v>
      </c>
      <c r="Q9" s="5"/>
    </row>
    <row r="10" spans="2:17" x14ac:dyDescent="0.45">
      <c r="B10" s="31" t="s">
        <v>15</v>
      </c>
      <c r="C10" s="38"/>
      <c r="F10" s="13">
        <f t="shared" si="2"/>
        <v>35</v>
      </c>
      <c r="G10" s="20">
        <f t="shared" si="0"/>
        <v>-9.1168327130289626</v>
      </c>
      <c r="H10" s="20">
        <f t="shared" si="1"/>
        <v>0.62620821943175287</v>
      </c>
      <c r="J10" s="4"/>
      <c r="Q10" s="5"/>
    </row>
    <row r="11" spans="2:17" x14ac:dyDescent="0.45">
      <c r="B11" s="10" t="s">
        <v>16</v>
      </c>
      <c r="C11" s="18">
        <f>(LN(S0/K)+(RiskFree-Dividend+sigma^2/2)*T)/(sigma*SQRT(T))</f>
        <v>0.50238416833486865</v>
      </c>
      <c r="D11" s="17"/>
      <c r="F11" s="13">
        <f t="shared" si="2"/>
        <v>40</v>
      </c>
      <c r="G11" s="20">
        <f t="shared" si="0"/>
        <v>-9.1168327130289626</v>
      </c>
      <c r="H11" s="20">
        <f t="shared" si="1"/>
        <v>-4.3737917805682471</v>
      </c>
      <c r="J11" s="4"/>
      <c r="Q11" s="5"/>
    </row>
    <row r="12" spans="2:17" x14ac:dyDescent="0.45">
      <c r="B12" s="10" t="s">
        <v>17</v>
      </c>
      <c r="C12" s="18">
        <f>C11-sigma*SQRT(T)</f>
        <v>7.8120099622940142E-2</v>
      </c>
      <c r="F12" s="13">
        <f t="shared" si="2"/>
        <v>45</v>
      </c>
      <c r="G12" s="20">
        <f t="shared" si="0"/>
        <v>-4.1168327130289626</v>
      </c>
      <c r="H12" s="20">
        <f t="shared" si="1"/>
        <v>-4.3737917805682471</v>
      </c>
      <c r="J12" s="4"/>
      <c r="Q12" s="5"/>
    </row>
    <row r="13" spans="2:17" x14ac:dyDescent="0.45">
      <c r="B13" s="10" t="s">
        <v>45</v>
      </c>
      <c r="C13" s="18">
        <f>NORMSDIST(r_D1)</f>
        <v>0.69230134337453841</v>
      </c>
      <c r="D13" s="17"/>
      <c r="F13" s="13">
        <f>F12+5</f>
        <v>50</v>
      </c>
      <c r="G13" s="20">
        <f t="shared" si="0"/>
        <v>0.88316728697103741</v>
      </c>
      <c r="H13" s="20">
        <f t="shared" si="1"/>
        <v>-4.3737917805682471</v>
      </c>
      <c r="J13" s="4"/>
      <c r="Q13" s="5"/>
    </row>
    <row r="14" spans="2:17" x14ac:dyDescent="0.45">
      <c r="B14" s="10" t="s">
        <v>46</v>
      </c>
      <c r="C14" s="18">
        <f>NORMSDIST(-r_D1)</f>
        <v>0.30769865662546159</v>
      </c>
      <c r="F14" s="13">
        <f t="shared" si="2"/>
        <v>55</v>
      </c>
      <c r="G14" s="20">
        <f t="shared" si="0"/>
        <v>5.8831672869710374</v>
      </c>
      <c r="H14" s="20">
        <f t="shared" si="1"/>
        <v>-4.3737917805682471</v>
      </c>
      <c r="J14" s="4"/>
      <c r="Q14" s="5"/>
    </row>
    <row r="15" spans="2:17" x14ac:dyDescent="0.45">
      <c r="B15" s="10" t="s">
        <v>47</v>
      </c>
      <c r="C15" s="18">
        <f>NORMSDIST(r_D2)</f>
        <v>0.53113374056729667</v>
      </c>
      <c r="F15" s="13">
        <f t="shared" si="2"/>
        <v>60</v>
      </c>
      <c r="G15" s="20">
        <f t="shared" si="0"/>
        <v>10.883167286971037</v>
      </c>
      <c r="H15" s="20">
        <f t="shared" si="1"/>
        <v>-4.3737917805682471</v>
      </c>
      <c r="J15" s="4"/>
      <c r="Q15" s="5"/>
    </row>
    <row r="16" spans="2:17" x14ac:dyDescent="0.45">
      <c r="B16" s="10" t="s">
        <v>48</v>
      </c>
      <c r="C16" s="18">
        <f>NORMSDIST(-r_D2)</f>
        <v>0.46886625943270327</v>
      </c>
      <c r="F16" s="13">
        <f>F15+5</f>
        <v>65</v>
      </c>
      <c r="G16" s="20">
        <f t="shared" si="0"/>
        <v>15.883167286971037</v>
      </c>
      <c r="H16" s="20">
        <f t="shared" si="1"/>
        <v>-4.3737917805682471</v>
      </c>
      <c r="J16" s="4"/>
      <c r="Q16" s="5"/>
    </row>
    <row r="17" spans="2:17" x14ac:dyDescent="0.45">
      <c r="F17" s="13">
        <f t="shared" si="2"/>
        <v>70</v>
      </c>
      <c r="G17" s="20">
        <f t="shared" si="0"/>
        <v>20.883167286971037</v>
      </c>
      <c r="H17" s="20">
        <f t="shared" si="1"/>
        <v>-4.3737917805682471</v>
      </c>
      <c r="J17" s="4"/>
      <c r="Q17" s="5"/>
    </row>
    <row r="18" spans="2:17" ht="14.65" thickBot="1" x14ac:dyDescent="0.5">
      <c r="B18" s="12" t="s">
        <v>18</v>
      </c>
      <c r="C18" s="31" t="s">
        <v>51</v>
      </c>
      <c r="D18" s="39" t="s">
        <v>52</v>
      </c>
      <c r="F18" s="13">
        <f t="shared" si="2"/>
        <v>75</v>
      </c>
      <c r="G18" s="20">
        <f t="shared" si="0"/>
        <v>25.883167286971037</v>
      </c>
      <c r="H18" s="20">
        <f t="shared" si="1"/>
        <v>-4.3737917805682471</v>
      </c>
      <c r="J18" s="7"/>
      <c r="K18" s="8"/>
      <c r="L18" s="8"/>
      <c r="M18" s="8"/>
      <c r="N18" s="8"/>
      <c r="O18" s="8"/>
      <c r="P18" s="8"/>
      <c r="Q18" s="9"/>
    </row>
    <row r="19" spans="2:17" ht="14.65" thickBot="1" x14ac:dyDescent="0.5">
      <c r="B19" s="10" t="s">
        <v>19</v>
      </c>
      <c r="C19" s="19">
        <f>S0*EXP(-Dividend*T)*r_Nd1-K*EXP(-RiskFree*T)*r_Nd2</f>
        <v>9.1168327130289626</v>
      </c>
      <c r="D19" s="10" cm="1">
        <f t="array" ref="D19">BSM_Pricing_Option_Europeen("CALL",S0,K,RiskFree,sigma,Dividend,T)</f>
        <v>9.1168327130289608</v>
      </c>
      <c r="F19" s="13">
        <f t="shared" si="2"/>
        <v>80</v>
      </c>
      <c r="G19" s="20">
        <f t="shared" si="0"/>
        <v>30.883167286971037</v>
      </c>
      <c r="H19" s="20">
        <f t="shared" si="1"/>
        <v>-4.3737917805682471</v>
      </c>
    </row>
    <row r="20" spans="2:17" ht="16.149999999999999" thickBot="1" x14ac:dyDescent="0.55000000000000004">
      <c r="B20" s="10" t="s">
        <v>20</v>
      </c>
      <c r="C20" s="19">
        <f>K*EXP(-RiskFree*T)*r_minusNd2-S0*EXP(-Dividend*T)*r_minusNd1</f>
        <v>4.3737917805682471</v>
      </c>
      <c r="D20" s="10" cm="1">
        <f t="array" ref="D20">BSM_Pricing_Option_Europeen("PUT",S0,K,RiskFree,sigma,Dividend,T)</f>
        <v>4.3737917805682498</v>
      </c>
      <c r="F20" s="13">
        <f t="shared" si="2"/>
        <v>85</v>
      </c>
      <c r="G20" s="20">
        <f t="shared" si="0"/>
        <v>35.883167286971037</v>
      </c>
      <c r="H20" s="20">
        <f t="shared" si="1"/>
        <v>-4.3737917805682471</v>
      </c>
      <c r="J20" s="44" t="s">
        <v>26</v>
      </c>
      <c r="K20" s="45"/>
      <c r="L20" s="45"/>
      <c r="M20" s="45"/>
      <c r="N20" s="45"/>
      <c r="O20" s="45"/>
      <c r="P20" s="45"/>
      <c r="Q20" s="46"/>
    </row>
    <row r="21" spans="2:17" x14ac:dyDescent="0.45">
      <c r="F21" s="13">
        <f>F20+5</f>
        <v>90</v>
      </c>
      <c r="G21" s="20">
        <f t="shared" si="0"/>
        <v>40.883167286971037</v>
      </c>
      <c r="H21" s="20">
        <f t="shared" si="1"/>
        <v>-4.3737917805682471</v>
      </c>
      <c r="J21" s="1"/>
      <c r="K21" s="2"/>
      <c r="L21" s="2"/>
      <c r="M21" s="2"/>
      <c r="N21" s="2"/>
      <c r="O21" s="2"/>
      <c r="P21" s="2"/>
      <c r="Q21" s="3"/>
    </row>
    <row r="22" spans="2:17" x14ac:dyDescent="0.45">
      <c r="F22" s="13">
        <f t="shared" si="2"/>
        <v>95</v>
      </c>
      <c r="G22" s="20">
        <f t="shared" si="0"/>
        <v>45.883167286971037</v>
      </c>
      <c r="H22" s="20">
        <f t="shared" si="1"/>
        <v>-4.3737917805682471</v>
      </c>
      <c r="J22" s="4"/>
      <c r="Q22" s="5"/>
    </row>
    <row r="23" spans="2:17" x14ac:dyDescent="0.45">
      <c r="F23" s="13">
        <f t="shared" si="2"/>
        <v>100</v>
      </c>
      <c r="G23" s="20">
        <f t="shared" si="0"/>
        <v>50.883167286971037</v>
      </c>
      <c r="H23" s="20">
        <f t="shared" si="1"/>
        <v>-4.3737917805682471</v>
      </c>
      <c r="J23" s="4"/>
      <c r="Q23" s="5"/>
    </row>
    <row r="24" spans="2:17" x14ac:dyDescent="0.45">
      <c r="F24" s="13"/>
      <c r="G24" s="13"/>
      <c r="H24" s="13"/>
      <c r="J24" s="4"/>
      <c r="Q24" s="5"/>
    </row>
    <row r="25" spans="2:17" x14ac:dyDescent="0.45">
      <c r="F25" s="13"/>
      <c r="G25" s="13"/>
      <c r="H25" s="13"/>
      <c r="J25" s="4"/>
      <c r="Q25" s="5"/>
    </row>
    <row r="26" spans="2:17" x14ac:dyDescent="0.45">
      <c r="F26" s="13"/>
      <c r="G26" s="13"/>
      <c r="H26" s="13"/>
      <c r="J26" s="4"/>
      <c r="Q26" s="5"/>
    </row>
    <row r="27" spans="2:17" ht="14.65" thickBot="1" x14ac:dyDescent="0.5">
      <c r="F27" s="13"/>
      <c r="G27" s="13"/>
      <c r="H27" s="13"/>
      <c r="J27" s="7"/>
      <c r="K27" s="8"/>
      <c r="L27" s="8"/>
      <c r="M27" s="8"/>
      <c r="N27" s="8"/>
      <c r="O27" s="8"/>
      <c r="P27" s="8"/>
      <c r="Q27" s="9"/>
    </row>
    <row r="28" spans="2:17" x14ac:dyDescent="0.45">
      <c r="F28" s="13"/>
      <c r="G28" s="13"/>
      <c r="H28" s="13"/>
    </row>
    <row r="29" spans="2:17" x14ac:dyDescent="0.45">
      <c r="F29" s="13"/>
      <c r="G29" s="13"/>
      <c r="H29" s="13"/>
    </row>
    <row r="30" spans="2:17" x14ac:dyDescent="0.45">
      <c r="F30" s="13"/>
      <c r="G30" s="13"/>
      <c r="H30" s="13"/>
    </row>
    <row r="31" spans="2:17" x14ac:dyDescent="0.45">
      <c r="F31" s="13"/>
      <c r="G31" s="13"/>
      <c r="H31" s="13"/>
    </row>
    <row r="32" spans="2:17" x14ac:dyDescent="0.45">
      <c r="F32" s="13"/>
      <c r="G32" s="13"/>
      <c r="H32" s="13"/>
    </row>
    <row r="33" spans="6:8" x14ac:dyDescent="0.45">
      <c r="F33" s="13"/>
      <c r="G33" s="13"/>
      <c r="H33" s="13"/>
    </row>
    <row r="34" spans="6:8" x14ac:dyDescent="0.45">
      <c r="F34" s="13"/>
      <c r="G34" s="13"/>
      <c r="H34" s="13"/>
    </row>
    <row r="35" spans="6:8" x14ac:dyDescent="0.45">
      <c r="F35" s="13"/>
      <c r="G35" s="13"/>
      <c r="H35" s="13"/>
    </row>
    <row r="36" spans="6:8" x14ac:dyDescent="0.45">
      <c r="F36" s="13"/>
      <c r="G36" s="13"/>
      <c r="H36" s="13"/>
    </row>
    <row r="37" spans="6:8" x14ac:dyDescent="0.45">
      <c r="F37" s="13"/>
      <c r="G37" s="13"/>
      <c r="H37" s="13"/>
    </row>
    <row r="38" spans="6:8" x14ac:dyDescent="0.45">
      <c r="F38" s="13"/>
      <c r="G38" s="13"/>
      <c r="H38" s="13"/>
    </row>
    <row r="39" spans="6:8" x14ac:dyDescent="0.45">
      <c r="F39" s="13"/>
      <c r="G39" s="13"/>
      <c r="H39" s="13"/>
    </row>
    <row r="40" spans="6:8" x14ac:dyDescent="0.45">
      <c r="F40" s="13"/>
      <c r="G40" s="13"/>
      <c r="H40" s="13"/>
    </row>
    <row r="41" spans="6:8" x14ac:dyDescent="0.45">
      <c r="F41" s="13"/>
      <c r="G41" s="13"/>
      <c r="H41" s="13"/>
    </row>
    <row r="42" spans="6:8" x14ac:dyDescent="0.45">
      <c r="F42" s="13"/>
      <c r="G42" s="13"/>
      <c r="H42" s="13"/>
    </row>
    <row r="43" spans="6:8" x14ac:dyDescent="0.45">
      <c r="F43" s="13"/>
      <c r="G43" s="13"/>
      <c r="H43" s="13"/>
    </row>
    <row r="44" spans="6:8" x14ac:dyDescent="0.45">
      <c r="F44" s="13"/>
      <c r="G44" s="13"/>
      <c r="H44" s="13"/>
    </row>
    <row r="45" spans="6:8" x14ac:dyDescent="0.45">
      <c r="F45" s="13"/>
      <c r="G45" s="13"/>
      <c r="H45" s="13"/>
    </row>
    <row r="46" spans="6:8" x14ac:dyDescent="0.45">
      <c r="F46" s="13"/>
      <c r="G46" s="13"/>
      <c r="H46" s="13"/>
    </row>
    <row r="47" spans="6:8" x14ac:dyDescent="0.45">
      <c r="F47" s="13"/>
      <c r="G47" s="13"/>
      <c r="H47" s="13"/>
    </row>
    <row r="48" spans="6:8" x14ac:dyDescent="0.45">
      <c r="F48" s="13"/>
      <c r="G48" s="13"/>
      <c r="H48" s="13"/>
    </row>
    <row r="49" spans="6:8" x14ac:dyDescent="0.45">
      <c r="F49" s="13"/>
      <c r="G49" s="13"/>
      <c r="H49" s="13"/>
    </row>
    <row r="50" spans="6:8" x14ac:dyDescent="0.45">
      <c r="F50" s="13"/>
      <c r="G50" s="13"/>
      <c r="H50" s="13"/>
    </row>
    <row r="51" spans="6:8" x14ac:dyDescent="0.45">
      <c r="F51" s="13"/>
      <c r="G51" s="13"/>
      <c r="H51" s="13"/>
    </row>
    <row r="52" spans="6:8" x14ac:dyDescent="0.45">
      <c r="F52" s="13"/>
      <c r="G52" s="13"/>
      <c r="H52" s="13"/>
    </row>
    <row r="53" spans="6:8" x14ac:dyDescent="0.45">
      <c r="F53" s="13"/>
      <c r="G53" s="13"/>
      <c r="H53" s="13"/>
    </row>
    <row r="54" spans="6:8" x14ac:dyDescent="0.45">
      <c r="F54" s="13"/>
      <c r="G54" s="13"/>
      <c r="H54" s="13"/>
    </row>
    <row r="55" spans="6:8" x14ac:dyDescent="0.45">
      <c r="F55" s="13"/>
      <c r="G55" s="13"/>
      <c r="H55" s="13"/>
    </row>
    <row r="56" spans="6:8" x14ac:dyDescent="0.45">
      <c r="F56" s="13"/>
      <c r="G56" s="13"/>
      <c r="H56" s="13"/>
    </row>
    <row r="57" spans="6:8" x14ac:dyDescent="0.45">
      <c r="F57" s="13"/>
      <c r="G57" s="13"/>
      <c r="H57" s="13"/>
    </row>
    <row r="58" spans="6:8" x14ac:dyDescent="0.45">
      <c r="F58" s="13"/>
      <c r="G58" s="13"/>
      <c r="H58" s="13"/>
    </row>
    <row r="59" spans="6:8" x14ac:dyDescent="0.45">
      <c r="F59" s="13"/>
      <c r="G59" s="13"/>
      <c r="H59" s="13"/>
    </row>
    <row r="60" spans="6:8" x14ac:dyDescent="0.45">
      <c r="F60" s="13"/>
      <c r="G60" s="13"/>
      <c r="H60" s="13"/>
    </row>
    <row r="61" spans="6:8" x14ac:dyDescent="0.45">
      <c r="F61" s="13"/>
      <c r="G61" s="13"/>
      <c r="H61" s="13"/>
    </row>
    <row r="62" spans="6:8" x14ac:dyDescent="0.45">
      <c r="F62" s="13"/>
      <c r="G62" s="13"/>
      <c r="H62" s="13"/>
    </row>
    <row r="63" spans="6:8" x14ac:dyDescent="0.45">
      <c r="F63" s="13"/>
      <c r="G63" s="13"/>
      <c r="H63" s="13"/>
    </row>
    <row r="64" spans="6:8" x14ac:dyDescent="0.45">
      <c r="F64" s="13"/>
      <c r="G64" s="13"/>
      <c r="H64" s="13"/>
    </row>
    <row r="65" spans="6:8" x14ac:dyDescent="0.45">
      <c r="F65" s="13"/>
      <c r="G65" s="13"/>
      <c r="H65" s="13"/>
    </row>
    <row r="66" spans="6:8" x14ac:dyDescent="0.45">
      <c r="F66" s="13"/>
      <c r="G66" s="13"/>
      <c r="H66" s="13"/>
    </row>
    <row r="67" spans="6:8" x14ac:dyDescent="0.45">
      <c r="F67" s="13"/>
      <c r="G67" s="13"/>
      <c r="H67" s="13"/>
    </row>
    <row r="68" spans="6:8" x14ac:dyDescent="0.45">
      <c r="F68" s="13"/>
      <c r="G68" s="13"/>
      <c r="H68" s="13"/>
    </row>
    <row r="69" spans="6:8" x14ac:dyDescent="0.45">
      <c r="F69" s="13"/>
      <c r="G69" s="13"/>
      <c r="H69" s="13"/>
    </row>
    <row r="70" spans="6:8" x14ac:dyDescent="0.45">
      <c r="F70" s="13"/>
      <c r="G70" s="13"/>
      <c r="H70" s="13"/>
    </row>
    <row r="71" spans="6:8" x14ac:dyDescent="0.45">
      <c r="F71" s="13"/>
      <c r="G71" s="13"/>
      <c r="H71" s="13"/>
    </row>
    <row r="72" spans="6:8" x14ac:dyDescent="0.45">
      <c r="F72" s="13"/>
      <c r="G72" s="13"/>
      <c r="H72" s="13"/>
    </row>
    <row r="73" spans="6:8" x14ac:dyDescent="0.45">
      <c r="F73" s="13"/>
      <c r="G73" s="13"/>
      <c r="H73" s="13"/>
    </row>
    <row r="74" spans="6:8" x14ac:dyDescent="0.45">
      <c r="F74" s="13"/>
      <c r="G74" s="13"/>
      <c r="H74" s="13"/>
    </row>
    <row r="75" spans="6:8" x14ac:dyDescent="0.45">
      <c r="F75" s="13"/>
      <c r="G75" s="13"/>
      <c r="H75" s="13"/>
    </row>
    <row r="76" spans="6:8" x14ac:dyDescent="0.45">
      <c r="F76" s="13"/>
      <c r="G76" s="13"/>
      <c r="H76" s="13"/>
    </row>
    <row r="77" spans="6:8" x14ac:dyDescent="0.45">
      <c r="F77" s="13"/>
      <c r="G77" s="13"/>
      <c r="H77" s="13"/>
    </row>
    <row r="78" spans="6:8" x14ac:dyDescent="0.45">
      <c r="F78" s="13"/>
      <c r="G78" s="13"/>
      <c r="H78" s="13"/>
    </row>
    <row r="79" spans="6:8" x14ac:dyDescent="0.45">
      <c r="F79" s="13"/>
      <c r="G79" s="13"/>
      <c r="H79" s="13"/>
    </row>
    <row r="80" spans="6:8" x14ac:dyDescent="0.45">
      <c r="F80" s="13"/>
      <c r="G80" s="13"/>
      <c r="H80" s="13"/>
    </row>
    <row r="81" spans="6:8" x14ac:dyDescent="0.45">
      <c r="F81" s="13"/>
      <c r="G81" s="13"/>
      <c r="H81" s="13"/>
    </row>
    <row r="82" spans="6:8" x14ac:dyDescent="0.45">
      <c r="F82" s="13"/>
      <c r="G82" s="13"/>
      <c r="H82" s="13"/>
    </row>
    <row r="83" spans="6:8" x14ac:dyDescent="0.45">
      <c r="F83" s="13"/>
      <c r="G83" s="13"/>
      <c r="H83" s="13"/>
    </row>
    <row r="84" spans="6:8" x14ac:dyDescent="0.45">
      <c r="F84" s="13"/>
      <c r="G84" s="13"/>
      <c r="H84" s="13"/>
    </row>
    <row r="85" spans="6:8" x14ac:dyDescent="0.45">
      <c r="F85" s="13"/>
      <c r="G85" s="13"/>
      <c r="H85" s="13"/>
    </row>
    <row r="86" spans="6:8" x14ac:dyDescent="0.45">
      <c r="F86" s="13"/>
      <c r="G86" s="13"/>
      <c r="H86" s="13"/>
    </row>
    <row r="87" spans="6:8" x14ac:dyDescent="0.45">
      <c r="F87" s="13"/>
      <c r="G87" s="13"/>
      <c r="H87" s="13"/>
    </row>
    <row r="88" spans="6:8" x14ac:dyDescent="0.45">
      <c r="F88" s="13"/>
      <c r="G88" s="13"/>
      <c r="H88" s="13"/>
    </row>
    <row r="89" spans="6:8" x14ac:dyDescent="0.45">
      <c r="F89" s="13"/>
      <c r="G89" s="13"/>
      <c r="H89" s="13"/>
    </row>
    <row r="90" spans="6:8" x14ac:dyDescent="0.45">
      <c r="F90" s="13"/>
      <c r="G90" s="13"/>
      <c r="H90" s="13"/>
    </row>
    <row r="91" spans="6:8" x14ac:dyDescent="0.45">
      <c r="F91" s="13"/>
      <c r="G91" s="13"/>
      <c r="H91" s="13"/>
    </row>
    <row r="92" spans="6:8" x14ac:dyDescent="0.45">
      <c r="F92" s="13"/>
      <c r="G92" s="13"/>
      <c r="H92" s="13"/>
    </row>
    <row r="93" spans="6:8" x14ac:dyDescent="0.45">
      <c r="F93" s="13"/>
      <c r="G93" s="13"/>
      <c r="H93" s="13"/>
    </row>
    <row r="94" spans="6:8" x14ac:dyDescent="0.45">
      <c r="F94" s="13"/>
      <c r="G94" s="13"/>
      <c r="H94" s="13"/>
    </row>
    <row r="95" spans="6:8" x14ac:dyDescent="0.45">
      <c r="F95" s="13"/>
      <c r="G95" s="13"/>
      <c r="H95" s="13"/>
    </row>
    <row r="96" spans="6:8" x14ac:dyDescent="0.45">
      <c r="F96" s="13"/>
      <c r="G96" s="13"/>
      <c r="H96" s="13"/>
    </row>
    <row r="97" spans="6:8" x14ac:dyDescent="0.45">
      <c r="F97" s="13"/>
      <c r="G97" s="13"/>
      <c r="H97" s="13"/>
    </row>
    <row r="98" spans="6:8" x14ac:dyDescent="0.45">
      <c r="F98" s="13"/>
      <c r="G98" s="13"/>
      <c r="H98" s="13"/>
    </row>
    <row r="99" spans="6:8" x14ac:dyDescent="0.45">
      <c r="F99" s="13"/>
      <c r="G99" s="13"/>
      <c r="H99" s="13"/>
    </row>
    <row r="100" spans="6:8" x14ac:dyDescent="0.45">
      <c r="F100" s="13"/>
      <c r="G100" s="13"/>
      <c r="H100" s="13"/>
    </row>
    <row r="101" spans="6:8" x14ac:dyDescent="0.45">
      <c r="F101" s="13"/>
      <c r="G101" s="13"/>
      <c r="H101" s="13"/>
    </row>
    <row r="102" spans="6:8" x14ac:dyDescent="0.45">
      <c r="F102" s="13"/>
      <c r="G102" s="13"/>
      <c r="H102" s="13"/>
    </row>
    <row r="103" spans="6:8" x14ac:dyDescent="0.45">
      <c r="F103" s="13"/>
      <c r="G103" s="13"/>
      <c r="H103" s="13"/>
    </row>
    <row r="104" spans="6:8" x14ac:dyDescent="0.45">
      <c r="F104" s="13"/>
      <c r="G104" s="13"/>
      <c r="H104" s="13"/>
    </row>
    <row r="105" spans="6:8" x14ac:dyDescent="0.45">
      <c r="F105" s="13"/>
      <c r="G105" s="13"/>
      <c r="H105" s="13"/>
    </row>
    <row r="106" spans="6:8" x14ac:dyDescent="0.45">
      <c r="F106" s="13"/>
      <c r="G106" s="13"/>
      <c r="H106" s="13"/>
    </row>
    <row r="107" spans="6:8" x14ac:dyDescent="0.45">
      <c r="F107" s="13"/>
      <c r="G107" s="13"/>
      <c r="H107" s="13"/>
    </row>
    <row r="108" spans="6:8" x14ac:dyDescent="0.45">
      <c r="F108" s="13"/>
      <c r="G108" s="13"/>
      <c r="H108" s="13"/>
    </row>
    <row r="109" spans="6:8" x14ac:dyDescent="0.45">
      <c r="F109" s="13"/>
      <c r="G109" s="13"/>
      <c r="H109" s="13"/>
    </row>
    <row r="110" spans="6:8" x14ac:dyDescent="0.45">
      <c r="F110" s="13"/>
      <c r="G110" s="13"/>
      <c r="H110" s="13"/>
    </row>
    <row r="111" spans="6:8" x14ac:dyDescent="0.45">
      <c r="F111" s="13"/>
      <c r="G111" s="13"/>
      <c r="H111" s="13"/>
    </row>
    <row r="112" spans="6:8" x14ac:dyDescent="0.45">
      <c r="F112" s="13"/>
      <c r="G112" s="13"/>
      <c r="H112" s="13"/>
    </row>
    <row r="113" spans="6:8" x14ac:dyDescent="0.45">
      <c r="F113" s="13"/>
      <c r="G113" s="13"/>
      <c r="H113" s="13"/>
    </row>
    <row r="114" spans="6:8" x14ac:dyDescent="0.45">
      <c r="F114" s="13"/>
      <c r="G114" s="13"/>
      <c r="H114" s="13"/>
    </row>
    <row r="115" spans="6:8" x14ac:dyDescent="0.45">
      <c r="F115" s="13"/>
      <c r="G115" s="13"/>
      <c r="H115" s="13"/>
    </row>
    <row r="116" spans="6:8" x14ac:dyDescent="0.45">
      <c r="F116" s="13"/>
      <c r="G116" s="13"/>
      <c r="H116" s="13"/>
    </row>
    <row r="117" spans="6:8" x14ac:dyDescent="0.45">
      <c r="F117" s="13"/>
      <c r="G117" s="13"/>
      <c r="H117" s="13"/>
    </row>
    <row r="118" spans="6:8" x14ac:dyDescent="0.45">
      <c r="F118" s="13"/>
      <c r="G118" s="13"/>
      <c r="H118" s="13"/>
    </row>
    <row r="119" spans="6:8" x14ac:dyDescent="0.45">
      <c r="F119" s="13"/>
      <c r="G119" s="13"/>
      <c r="H119" s="13"/>
    </row>
    <row r="120" spans="6:8" x14ac:dyDescent="0.45">
      <c r="F120" s="13"/>
      <c r="G120" s="13"/>
      <c r="H120" s="13"/>
    </row>
    <row r="121" spans="6:8" x14ac:dyDescent="0.45">
      <c r="F121" s="13"/>
      <c r="G121" s="13"/>
      <c r="H121" s="13"/>
    </row>
    <row r="122" spans="6:8" x14ac:dyDescent="0.45">
      <c r="F122" s="13"/>
      <c r="G122" s="13"/>
      <c r="H122" s="13"/>
    </row>
    <row r="123" spans="6:8" x14ac:dyDescent="0.45">
      <c r="F123" s="13"/>
      <c r="G123" s="13"/>
      <c r="H123" s="13"/>
    </row>
    <row r="124" spans="6:8" x14ac:dyDescent="0.45">
      <c r="F124" s="13"/>
      <c r="G124" s="13"/>
      <c r="H124" s="13"/>
    </row>
    <row r="125" spans="6:8" x14ac:dyDescent="0.45">
      <c r="F125" s="13"/>
      <c r="G125" s="13"/>
      <c r="H125" s="13"/>
    </row>
    <row r="126" spans="6:8" x14ac:dyDescent="0.45">
      <c r="F126" s="13"/>
      <c r="G126" s="13"/>
      <c r="H126" s="13"/>
    </row>
    <row r="127" spans="6:8" x14ac:dyDescent="0.45">
      <c r="F127" s="13"/>
      <c r="G127" s="13"/>
      <c r="H127" s="13"/>
    </row>
    <row r="128" spans="6:8" x14ac:dyDescent="0.45">
      <c r="F128" s="13"/>
      <c r="G128" s="13"/>
      <c r="H128" s="13"/>
    </row>
    <row r="129" spans="6:8" x14ac:dyDescent="0.45">
      <c r="F129" s="13"/>
      <c r="G129" s="13"/>
      <c r="H129" s="13"/>
    </row>
    <row r="130" spans="6:8" x14ac:dyDescent="0.45">
      <c r="F130" s="13"/>
      <c r="G130" s="13"/>
      <c r="H130" s="13"/>
    </row>
    <row r="131" spans="6:8" x14ac:dyDescent="0.45">
      <c r="F131" s="13"/>
      <c r="G131" s="13"/>
      <c r="H131" s="13"/>
    </row>
    <row r="132" spans="6:8" x14ac:dyDescent="0.45">
      <c r="F132" s="13"/>
      <c r="G132" s="13"/>
      <c r="H132" s="13"/>
    </row>
    <row r="133" spans="6:8" x14ac:dyDescent="0.45">
      <c r="F133" s="13"/>
      <c r="G133" s="13"/>
      <c r="H133" s="13"/>
    </row>
    <row r="134" spans="6:8" x14ac:dyDescent="0.45">
      <c r="F134" s="13"/>
      <c r="G134" s="13"/>
      <c r="H134" s="13"/>
    </row>
    <row r="135" spans="6:8" x14ac:dyDescent="0.45">
      <c r="F135" s="13"/>
      <c r="G135" s="13"/>
      <c r="H135" s="13"/>
    </row>
    <row r="136" spans="6:8" x14ac:dyDescent="0.45">
      <c r="F136" s="13"/>
      <c r="G136" s="13"/>
      <c r="H136" s="13"/>
    </row>
    <row r="137" spans="6:8" x14ac:dyDescent="0.45">
      <c r="F137" s="13"/>
      <c r="G137" s="13"/>
      <c r="H137" s="13"/>
    </row>
    <row r="138" spans="6:8" x14ac:dyDescent="0.45">
      <c r="F138" s="13"/>
      <c r="G138" s="13"/>
      <c r="H138" s="13"/>
    </row>
    <row r="139" spans="6:8" x14ac:dyDescent="0.45">
      <c r="F139" s="13"/>
      <c r="G139" s="13"/>
      <c r="H139" s="13"/>
    </row>
    <row r="140" spans="6:8" x14ac:dyDescent="0.45">
      <c r="F140" s="13"/>
      <c r="G140" s="13"/>
      <c r="H140" s="13"/>
    </row>
    <row r="141" spans="6:8" x14ac:dyDescent="0.45">
      <c r="F141" s="13"/>
      <c r="G141" s="13"/>
      <c r="H141" s="13"/>
    </row>
    <row r="142" spans="6:8" x14ac:dyDescent="0.45">
      <c r="F142" s="13"/>
      <c r="G142" s="13"/>
      <c r="H142" s="13"/>
    </row>
    <row r="143" spans="6:8" x14ac:dyDescent="0.45">
      <c r="F143" s="13"/>
      <c r="G143" s="13"/>
      <c r="H143" s="13"/>
    </row>
    <row r="144" spans="6:8" x14ac:dyDescent="0.45">
      <c r="F144" s="13"/>
      <c r="G144" s="13"/>
      <c r="H144" s="13"/>
    </row>
    <row r="145" spans="6:8" x14ac:dyDescent="0.45">
      <c r="F145" s="13"/>
      <c r="G145" s="13"/>
      <c r="H145" s="13"/>
    </row>
    <row r="146" spans="6:8" x14ac:dyDescent="0.45">
      <c r="F146" s="13"/>
      <c r="G146" s="13"/>
      <c r="H146" s="13"/>
    </row>
    <row r="147" spans="6:8" x14ac:dyDescent="0.45">
      <c r="F147" s="13"/>
      <c r="G147" s="13"/>
      <c r="H147" s="13"/>
    </row>
    <row r="148" spans="6:8" x14ac:dyDescent="0.45">
      <c r="F148" s="13"/>
      <c r="G148" s="13"/>
      <c r="H148" s="13"/>
    </row>
    <row r="149" spans="6:8" x14ac:dyDescent="0.45">
      <c r="F149" s="13"/>
      <c r="G149" s="13"/>
      <c r="H149" s="13"/>
    </row>
    <row r="150" spans="6:8" x14ac:dyDescent="0.45">
      <c r="F150" s="13"/>
      <c r="G150" s="13"/>
      <c r="H150" s="13"/>
    </row>
    <row r="151" spans="6:8" x14ac:dyDescent="0.45">
      <c r="F151" s="13"/>
      <c r="G151" s="13"/>
      <c r="H151" s="13"/>
    </row>
    <row r="152" spans="6:8" x14ac:dyDescent="0.45">
      <c r="F152" s="13"/>
      <c r="G152" s="13"/>
      <c r="H152" s="13"/>
    </row>
    <row r="153" spans="6:8" x14ac:dyDescent="0.45">
      <c r="F153" s="13"/>
      <c r="G153" s="13"/>
      <c r="H153" s="13"/>
    </row>
    <row r="154" spans="6:8" x14ac:dyDescent="0.45">
      <c r="F154" s="13"/>
      <c r="G154" s="13"/>
      <c r="H154" s="13"/>
    </row>
    <row r="155" spans="6:8" x14ac:dyDescent="0.45">
      <c r="F155" s="13"/>
      <c r="G155" s="13"/>
      <c r="H155" s="13"/>
    </row>
    <row r="156" spans="6:8" x14ac:dyDescent="0.45">
      <c r="F156" s="13"/>
      <c r="G156" s="13"/>
      <c r="H156" s="13"/>
    </row>
    <row r="157" spans="6:8" x14ac:dyDescent="0.45">
      <c r="F157" s="13"/>
      <c r="G157" s="13"/>
      <c r="H157" s="13"/>
    </row>
    <row r="158" spans="6:8" x14ac:dyDescent="0.45">
      <c r="F158" s="13"/>
      <c r="G158" s="13"/>
      <c r="H158" s="13"/>
    </row>
    <row r="159" spans="6:8" x14ac:dyDescent="0.45">
      <c r="F159" s="13"/>
      <c r="G159" s="13"/>
      <c r="H159" s="13"/>
    </row>
    <row r="160" spans="6:8" x14ac:dyDescent="0.45">
      <c r="F160" s="13"/>
      <c r="G160" s="13"/>
      <c r="H160" s="13"/>
    </row>
    <row r="161" spans="6:8" x14ac:dyDescent="0.45">
      <c r="F161" s="13"/>
      <c r="G161" s="13"/>
      <c r="H161" s="13"/>
    </row>
    <row r="162" spans="6:8" x14ac:dyDescent="0.45">
      <c r="F162" s="13"/>
      <c r="G162" s="13"/>
      <c r="H162" s="13"/>
    </row>
    <row r="163" spans="6:8" x14ac:dyDescent="0.45">
      <c r="F163" s="13"/>
      <c r="G163" s="13"/>
      <c r="H163" s="13"/>
    </row>
    <row r="164" spans="6:8" x14ac:dyDescent="0.45">
      <c r="F164" s="13"/>
      <c r="G164" s="13"/>
      <c r="H164" s="13"/>
    </row>
    <row r="165" spans="6:8" x14ac:dyDescent="0.45">
      <c r="F165" s="13"/>
      <c r="G165" s="13"/>
      <c r="H165" s="13"/>
    </row>
    <row r="166" spans="6:8" x14ac:dyDescent="0.45">
      <c r="F166" s="13"/>
      <c r="G166" s="13"/>
      <c r="H166" s="13"/>
    </row>
    <row r="167" spans="6:8" x14ac:dyDescent="0.45">
      <c r="F167" s="13"/>
      <c r="G167" s="13"/>
      <c r="H167" s="13"/>
    </row>
    <row r="168" spans="6:8" x14ac:dyDescent="0.45">
      <c r="F168" s="13"/>
      <c r="G168" s="13"/>
      <c r="H168" s="13"/>
    </row>
    <row r="169" spans="6:8" x14ac:dyDescent="0.45">
      <c r="F169" s="13"/>
      <c r="G169" s="13"/>
      <c r="H169" s="13"/>
    </row>
    <row r="170" spans="6:8" x14ac:dyDescent="0.45">
      <c r="F170" s="13"/>
      <c r="G170" s="13"/>
      <c r="H170" s="13"/>
    </row>
    <row r="171" spans="6:8" x14ac:dyDescent="0.45">
      <c r="F171" s="13"/>
      <c r="G171" s="13"/>
      <c r="H171" s="13"/>
    </row>
    <row r="172" spans="6:8" x14ac:dyDescent="0.45">
      <c r="F172" s="13"/>
      <c r="G172" s="13"/>
      <c r="H172" s="13"/>
    </row>
    <row r="173" spans="6:8" x14ac:dyDescent="0.45">
      <c r="F173" s="13"/>
      <c r="G173" s="13"/>
      <c r="H173" s="13"/>
    </row>
    <row r="174" spans="6:8" x14ac:dyDescent="0.45">
      <c r="F174" s="13"/>
      <c r="G174" s="13"/>
      <c r="H174" s="13"/>
    </row>
    <row r="175" spans="6:8" x14ac:dyDescent="0.45">
      <c r="F175" s="13"/>
      <c r="G175" s="13"/>
      <c r="H175" s="13"/>
    </row>
    <row r="176" spans="6:8" x14ac:dyDescent="0.45">
      <c r="F176" s="13"/>
      <c r="G176" s="13"/>
      <c r="H176" s="13"/>
    </row>
    <row r="177" spans="6:8" x14ac:dyDescent="0.45">
      <c r="F177" s="13"/>
      <c r="G177" s="13"/>
      <c r="H177" s="13"/>
    </row>
    <row r="178" spans="6:8" x14ac:dyDescent="0.45">
      <c r="F178" s="13"/>
      <c r="G178" s="13"/>
      <c r="H178" s="13"/>
    </row>
    <row r="179" spans="6:8" x14ac:dyDescent="0.45">
      <c r="F179" s="13"/>
      <c r="G179" s="13"/>
      <c r="H179" s="13"/>
    </row>
    <row r="180" spans="6:8" x14ac:dyDescent="0.45">
      <c r="F180" s="13"/>
      <c r="G180" s="13"/>
      <c r="H180" s="13"/>
    </row>
    <row r="181" spans="6:8" x14ac:dyDescent="0.45">
      <c r="F181" s="13"/>
      <c r="G181" s="13"/>
      <c r="H181" s="13"/>
    </row>
    <row r="182" spans="6:8" x14ac:dyDescent="0.45">
      <c r="F182" s="13"/>
      <c r="G182" s="13"/>
      <c r="H182" s="13"/>
    </row>
    <row r="183" spans="6:8" x14ac:dyDescent="0.45">
      <c r="F183" s="13"/>
      <c r="G183" s="13"/>
      <c r="H183" s="13"/>
    </row>
    <row r="184" spans="6:8" x14ac:dyDescent="0.45">
      <c r="F184" s="13"/>
      <c r="G184" s="13"/>
      <c r="H184" s="13"/>
    </row>
    <row r="185" spans="6:8" x14ac:dyDescent="0.45">
      <c r="F185" s="13"/>
      <c r="G185" s="13"/>
      <c r="H185" s="13"/>
    </row>
    <row r="186" spans="6:8" x14ac:dyDescent="0.45">
      <c r="F186" s="13"/>
      <c r="G186" s="13"/>
      <c r="H186" s="13"/>
    </row>
    <row r="187" spans="6:8" x14ac:dyDescent="0.45">
      <c r="F187" s="13"/>
      <c r="G187" s="13"/>
      <c r="H187" s="13"/>
    </row>
    <row r="188" spans="6:8" x14ac:dyDescent="0.45">
      <c r="F188" s="13"/>
      <c r="G188" s="13"/>
      <c r="H188" s="13"/>
    </row>
    <row r="189" spans="6:8" x14ac:dyDescent="0.45">
      <c r="F189" s="13"/>
      <c r="G189" s="13"/>
      <c r="H189" s="13"/>
    </row>
    <row r="190" spans="6:8" x14ac:dyDescent="0.45">
      <c r="F190" s="13"/>
      <c r="G190" s="13"/>
      <c r="H190" s="13"/>
    </row>
    <row r="191" spans="6:8" x14ac:dyDescent="0.45">
      <c r="F191" s="13"/>
      <c r="G191" s="13"/>
      <c r="H191" s="13"/>
    </row>
    <row r="192" spans="6:8" x14ac:dyDescent="0.45">
      <c r="F192" s="13"/>
      <c r="G192" s="13"/>
      <c r="H192" s="13"/>
    </row>
    <row r="193" spans="6:8" x14ac:dyDescent="0.45">
      <c r="F193" s="13"/>
      <c r="G193" s="13"/>
      <c r="H193" s="13"/>
    </row>
    <row r="194" spans="6:8" x14ac:dyDescent="0.45">
      <c r="F194" s="13"/>
      <c r="G194" s="13"/>
      <c r="H194" s="13"/>
    </row>
    <row r="195" spans="6:8" x14ac:dyDescent="0.45">
      <c r="F195" s="13"/>
      <c r="G195" s="13"/>
      <c r="H195" s="13"/>
    </row>
    <row r="196" spans="6:8" x14ac:dyDescent="0.45">
      <c r="F196" s="13"/>
      <c r="G196" s="13"/>
      <c r="H196" s="13"/>
    </row>
    <row r="197" spans="6:8" x14ac:dyDescent="0.45">
      <c r="F197" s="13"/>
      <c r="G197" s="13"/>
      <c r="H197" s="13"/>
    </row>
    <row r="198" spans="6:8" x14ac:dyDescent="0.45">
      <c r="F198" s="13"/>
      <c r="G198" s="13"/>
      <c r="H198" s="13"/>
    </row>
    <row r="199" spans="6:8" x14ac:dyDescent="0.45">
      <c r="F199" s="13"/>
      <c r="G199" s="13"/>
      <c r="H199" s="13"/>
    </row>
    <row r="200" spans="6:8" x14ac:dyDescent="0.45">
      <c r="F200" s="13"/>
      <c r="G200" s="13"/>
      <c r="H200" s="13"/>
    </row>
    <row r="201" spans="6:8" x14ac:dyDescent="0.45">
      <c r="F201" s="13"/>
      <c r="G201" s="13"/>
      <c r="H201" s="13"/>
    </row>
    <row r="202" spans="6:8" x14ac:dyDescent="0.45">
      <c r="F202" s="13"/>
      <c r="G202" s="13"/>
      <c r="H202" s="13"/>
    </row>
    <row r="203" spans="6:8" x14ac:dyDescent="0.45">
      <c r="F203" s="13"/>
      <c r="G203" s="13"/>
      <c r="H203" s="13"/>
    </row>
    <row r="204" spans="6:8" x14ac:dyDescent="0.45">
      <c r="F204" s="13"/>
      <c r="G204" s="13"/>
      <c r="H204" s="13"/>
    </row>
    <row r="205" spans="6:8" x14ac:dyDescent="0.45">
      <c r="F205" s="13"/>
      <c r="G205" s="13"/>
      <c r="H205" s="13"/>
    </row>
    <row r="206" spans="6:8" x14ac:dyDescent="0.45">
      <c r="F206" s="13"/>
      <c r="G206" s="13"/>
      <c r="H206" s="13"/>
    </row>
    <row r="207" spans="6:8" x14ac:dyDescent="0.45">
      <c r="F207" s="13"/>
      <c r="G207" s="13"/>
      <c r="H207" s="13"/>
    </row>
    <row r="208" spans="6:8" x14ac:dyDescent="0.45">
      <c r="F208" s="13"/>
      <c r="G208" s="13"/>
      <c r="H208" s="13"/>
    </row>
    <row r="209" spans="6:8" x14ac:dyDescent="0.45">
      <c r="F209" s="13"/>
      <c r="G209" s="13"/>
      <c r="H209" s="13"/>
    </row>
    <row r="210" spans="6:8" x14ac:dyDescent="0.45">
      <c r="F210" s="13"/>
      <c r="G210" s="13"/>
      <c r="H210" s="13"/>
    </row>
    <row r="211" spans="6:8" x14ac:dyDescent="0.45">
      <c r="F211" s="13"/>
      <c r="G211" s="13"/>
      <c r="H211" s="13"/>
    </row>
    <row r="212" spans="6:8" x14ac:dyDescent="0.45">
      <c r="F212" s="13"/>
      <c r="G212" s="13"/>
      <c r="H212" s="13"/>
    </row>
    <row r="213" spans="6:8" x14ac:dyDescent="0.45">
      <c r="F213" s="13"/>
      <c r="G213" s="13"/>
      <c r="H213" s="13"/>
    </row>
    <row r="214" spans="6:8" x14ac:dyDescent="0.45">
      <c r="F214" s="13"/>
      <c r="G214" s="13"/>
      <c r="H214" s="13"/>
    </row>
    <row r="215" spans="6:8" x14ac:dyDescent="0.45">
      <c r="F215" s="13"/>
      <c r="G215" s="13"/>
      <c r="H215" s="13"/>
    </row>
    <row r="216" spans="6:8" x14ac:dyDescent="0.45">
      <c r="F216" s="13"/>
      <c r="G216" s="13"/>
      <c r="H216" s="13"/>
    </row>
    <row r="217" spans="6:8" x14ac:dyDescent="0.45">
      <c r="F217" s="13"/>
      <c r="G217" s="13"/>
      <c r="H217" s="13"/>
    </row>
    <row r="218" spans="6:8" x14ac:dyDescent="0.45">
      <c r="F218" s="13"/>
      <c r="G218" s="13"/>
      <c r="H218" s="13"/>
    </row>
    <row r="219" spans="6:8" x14ac:dyDescent="0.45">
      <c r="F219" s="13"/>
      <c r="G219" s="13"/>
      <c r="H219" s="13"/>
    </row>
    <row r="220" spans="6:8" x14ac:dyDescent="0.45">
      <c r="F220" s="13"/>
      <c r="G220" s="13"/>
      <c r="H220" s="13"/>
    </row>
    <row r="221" spans="6:8" x14ac:dyDescent="0.45">
      <c r="F221" s="13"/>
      <c r="G221" s="13"/>
      <c r="H221" s="13"/>
    </row>
  </sheetData>
  <mergeCells count="2">
    <mergeCell ref="J2:Q2"/>
    <mergeCell ref="J20:Q20"/>
  </mergeCells>
  <conditionalFormatting sqref="G3:G2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{F87D69D0-F649-43B2-B5CD-2E329B36B7C9}</x14:id>
        </ext>
      </extLst>
    </cfRule>
  </conditionalFormatting>
  <pageMargins left="0.75" right="0.75" top="1" bottom="1" header="0.5" footer="0.5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7D69D0-F649-43B2-B5CD-2E329B36B7C9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G3:G23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F9263-FEF1-4831-B605-ABB23B7A6883}">
  <sheetPr codeName="Feuil2"/>
  <dimension ref="A1:T41"/>
  <sheetViews>
    <sheetView showGridLines="0" workbookViewId="0">
      <selection activeCell="K7" sqref="K7"/>
    </sheetView>
  </sheetViews>
  <sheetFormatPr baseColWidth="10" defaultRowHeight="14.25" x14ac:dyDescent="0.45"/>
  <cols>
    <col min="8" max="8" width="12.796875" customWidth="1"/>
    <col min="9" max="9" width="5" customWidth="1"/>
    <col min="10" max="10" width="15.33203125" customWidth="1"/>
    <col min="11" max="11" width="10.6640625" customWidth="1"/>
    <col min="12" max="12" width="23.53125" customWidth="1"/>
    <col min="13" max="14" width="5.06640625" customWidth="1"/>
  </cols>
  <sheetData>
    <row r="1" spans="1:20" ht="16.149999999999999" thickBot="1" x14ac:dyDescent="0.55000000000000004">
      <c r="A1" s="44" t="s">
        <v>34</v>
      </c>
      <c r="B1" s="45"/>
      <c r="C1" s="45"/>
      <c r="D1" s="45"/>
      <c r="E1" s="45"/>
      <c r="F1" s="45"/>
      <c r="G1" s="45"/>
      <c r="H1" s="46"/>
      <c r="J1" s="11" t="s">
        <v>0</v>
      </c>
      <c r="K1" s="11" t="s">
        <v>1</v>
      </c>
      <c r="L1" s="11" t="s">
        <v>2</v>
      </c>
      <c r="O1" s="32"/>
      <c r="P1" s="32" t="s">
        <v>38</v>
      </c>
      <c r="Q1" s="32" t="s">
        <v>39</v>
      </c>
      <c r="R1" s="32" t="s">
        <v>40</v>
      </c>
      <c r="S1" s="32" t="s">
        <v>41</v>
      </c>
      <c r="T1" s="32" t="s">
        <v>42</v>
      </c>
    </row>
    <row r="2" spans="1:20" ht="14.65" customHeight="1" x14ac:dyDescent="0.45">
      <c r="A2" s="1" t="s">
        <v>28</v>
      </c>
      <c r="B2" s="2"/>
      <c r="C2" s="2"/>
      <c r="D2" s="2"/>
      <c r="E2" s="2"/>
      <c r="F2" s="2"/>
      <c r="G2" s="2"/>
      <c r="H2" s="3"/>
      <c r="J2" s="10" t="s">
        <v>3</v>
      </c>
      <c r="K2" s="14">
        <f>S0</f>
        <v>50</v>
      </c>
      <c r="L2" s="10" t="s">
        <v>4</v>
      </c>
      <c r="N2" s="47" t="s">
        <v>53</v>
      </c>
      <c r="O2" s="33" t="s">
        <v>36</v>
      </c>
      <c r="P2" s="34">
        <f>EXP(-Dividend*T)*r_Nd1</f>
        <v>0.56680840021793433</v>
      </c>
      <c r="Q2" s="34">
        <f>EXP(-Dividend*T)/(S0*sigma*SQRT(T))*Loi_Densite_D1</f>
        <v>1.1977152423415582E-2</v>
      </c>
      <c r="R2" s="34">
        <f>S0*EXP(-Dividend*T)*SQRT(T)*Loi_Densite_D1/100</f>
        <v>0.17965728635123376</v>
      </c>
      <c r="S2" s="34">
        <f>K*T*EXP(-RiskFree*T)*r_Nd2</f>
        <v>38.447174595735511</v>
      </c>
      <c r="T2" s="34">
        <f>-((S0*EXP(-Dividend*T)*Loi_Densite_D1*sigma)/(2*SQRT(T))-RiskFree*K*EXP(-RiskFree*T)*r_Nd2+Dividend*S0*EXP(-Dividend*T)*r_Nd1)/100</f>
        <v>-3.2202922838305365E-2</v>
      </c>
    </row>
    <row r="3" spans="1:20" x14ac:dyDescent="0.45">
      <c r="A3" s="4"/>
      <c r="H3" s="5"/>
      <c r="J3" s="10" t="s">
        <v>5</v>
      </c>
      <c r="K3" s="14">
        <f>K</f>
        <v>40</v>
      </c>
      <c r="L3" s="10" t="s">
        <v>6</v>
      </c>
      <c r="N3" s="47"/>
      <c r="O3" s="33" t="s">
        <v>37</v>
      </c>
      <c r="P3" s="34">
        <f>EXP(-Dividend*T)*(r_Nd1-1)</f>
        <v>-0.25192235286004749</v>
      </c>
      <c r="Q3" s="34">
        <f>EXP(-Dividend*T)/(S0*sigma*SQRT(T))*Loi_Densite_D1</f>
        <v>1.1977152423415582E-2</v>
      </c>
      <c r="R3" s="34">
        <f>S0*EXP(-Dividend*T)*SQRT(T)*Loi_Densite_D1/100</f>
        <v>0.17965728635123376</v>
      </c>
      <c r="S3" s="34">
        <f>-K*T*EXP(-RiskFree*T)*r_minusNd2</f>
        <v>-33.939818847141247</v>
      </c>
      <c r="T3" s="34">
        <f>-((S0*EXP(-Dividend*T)*Loi_Densite_D1*sigma)/(2*SQRT(T))+RiskFree*K*EXP(-RiskFree*T)*r_minusNd2-Dividend*S0*EXP(-Dividend*T)*r_minusNd1)/100</f>
        <v>-9.363133545125463E-3</v>
      </c>
    </row>
    <row r="4" spans="1:20" x14ac:dyDescent="0.45">
      <c r="A4" s="4"/>
      <c r="H4" s="5"/>
      <c r="J4" s="10" t="s">
        <v>7</v>
      </c>
      <c r="K4" s="14">
        <f>T</f>
        <v>2</v>
      </c>
      <c r="L4" s="10" t="s">
        <v>8</v>
      </c>
      <c r="N4" s="48" t="s">
        <v>52</v>
      </c>
      <c r="O4" s="33" t="s">
        <v>36</v>
      </c>
      <c r="P4" s="34"/>
      <c r="Q4" s="34"/>
      <c r="R4" s="34"/>
      <c r="S4" s="34"/>
      <c r="T4" s="34"/>
    </row>
    <row r="5" spans="1:20" x14ac:dyDescent="0.45">
      <c r="A5" s="4"/>
      <c r="H5" s="5"/>
      <c r="J5" s="10" t="s">
        <v>9</v>
      </c>
      <c r="K5" s="15">
        <f>sigma</f>
        <v>0.3</v>
      </c>
      <c r="L5" s="10" t="s">
        <v>10</v>
      </c>
      <c r="N5" s="48"/>
      <c r="O5" s="33" t="s">
        <v>37</v>
      </c>
      <c r="P5" s="34"/>
      <c r="Q5" s="34"/>
      <c r="R5" s="34"/>
      <c r="S5" s="34"/>
      <c r="T5" s="34"/>
    </row>
    <row r="6" spans="1:20" ht="14.65" thickBot="1" x14ac:dyDescent="0.5">
      <c r="A6" s="7"/>
      <c r="B6" s="8"/>
      <c r="C6" s="8"/>
      <c r="D6" s="8"/>
      <c r="E6" s="8"/>
      <c r="F6" s="8"/>
      <c r="G6" s="8"/>
      <c r="H6" s="9"/>
      <c r="J6" s="10" t="s">
        <v>11</v>
      </c>
      <c r="K6" s="16">
        <f>RiskFree</f>
        <v>0.05</v>
      </c>
      <c r="L6" s="10" t="s">
        <v>12</v>
      </c>
    </row>
    <row r="7" spans="1:20" ht="14.65" thickBot="1" x14ac:dyDescent="0.5">
      <c r="J7" s="10" t="s">
        <v>13</v>
      </c>
      <c r="K7" s="16">
        <f>Dividend</f>
        <v>0.1</v>
      </c>
      <c r="L7" s="10" t="s">
        <v>14</v>
      </c>
    </row>
    <row r="8" spans="1:20" ht="28.9" thickBot="1" x14ac:dyDescent="0.5">
      <c r="A8" s="49" t="s">
        <v>49</v>
      </c>
      <c r="B8" s="50"/>
      <c r="C8" s="50"/>
      <c r="D8" s="50"/>
      <c r="E8" s="50"/>
      <c r="F8" s="50"/>
      <c r="G8" s="50"/>
      <c r="H8" s="51"/>
      <c r="J8" s="35" t="s">
        <v>43</v>
      </c>
      <c r="K8" s="36">
        <f>EXP(-r_D1/2)/SQRT(2*PI())</f>
        <v>0.3103264045986821</v>
      </c>
      <c r="L8" s="37" t="s">
        <v>44</v>
      </c>
    </row>
    <row r="9" spans="1:20" x14ac:dyDescent="0.45">
      <c r="A9" s="1" t="s">
        <v>29</v>
      </c>
      <c r="B9" s="2"/>
      <c r="C9" s="2"/>
      <c r="D9" s="2"/>
      <c r="E9" s="2"/>
      <c r="F9" s="2"/>
      <c r="G9" s="2"/>
      <c r="H9" s="3"/>
    </row>
    <row r="10" spans="1:20" x14ac:dyDescent="0.45">
      <c r="A10" s="4"/>
      <c r="H10" s="5"/>
    </row>
    <row r="11" spans="1:20" x14ac:dyDescent="0.45">
      <c r="A11" s="4"/>
      <c r="H11" s="5"/>
    </row>
    <row r="12" spans="1:20" x14ac:dyDescent="0.45">
      <c r="A12" s="4"/>
      <c r="H12" s="5"/>
    </row>
    <row r="13" spans="1:20" ht="14.65" thickBot="1" x14ac:dyDescent="0.5">
      <c r="A13" s="7"/>
      <c r="B13" s="8"/>
      <c r="C13" s="8"/>
      <c r="D13" s="8"/>
      <c r="E13" s="8"/>
      <c r="F13" s="8"/>
      <c r="G13" s="8"/>
      <c r="H13" s="9"/>
    </row>
    <row r="14" spans="1:20" ht="14.65" thickBot="1" x14ac:dyDescent="0.5"/>
    <row r="15" spans="1:20" ht="16.149999999999999" thickBot="1" x14ac:dyDescent="0.55000000000000004">
      <c r="A15" s="44" t="s">
        <v>50</v>
      </c>
      <c r="B15" s="45"/>
      <c r="C15" s="45"/>
      <c r="D15" s="45"/>
      <c r="E15" s="45"/>
      <c r="F15" s="45"/>
      <c r="G15" s="45"/>
      <c r="H15" s="46"/>
    </row>
    <row r="16" spans="1:20" x14ac:dyDescent="0.45">
      <c r="A16" s="1" t="s">
        <v>30</v>
      </c>
      <c r="B16" s="2"/>
      <c r="C16" s="2"/>
      <c r="D16" s="2"/>
      <c r="E16" s="2"/>
      <c r="F16" s="2"/>
      <c r="G16" s="2"/>
      <c r="H16" s="3"/>
    </row>
    <row r="17" spans="1:8" x14ac:dyDescent="0.45">
      <c r="A17" s="4"/>
      <c r="H17" s="5"/>
    </row>
    <row r="18" spans="1:8" x14ac:dyDescent="0.45">
      <c r="A18" s="4"/>
      <c r="H18" s="5"/>
    </row>
    <row r="19" spans="1:8" x14ac:dyDescent="0.45">
      <c r="A19" s="4"/>
      <c r="H19" s="5"/>
    </row>
    <row r="20" spans="1:8" x14ac:dyDescent="0.45">
      <c r="A20" s="4"/>
      <c r="H20" s="5"/>
    </row>
    <row r="21" spans="1:8" x14ac:dyDescent="0.45">
      <c r="A21" s="21" t="s">
        <v>27</v>
      </c>
      <c r="B21" s="22"/>
      <c r="C21" s="22"/>
      <c r="D21" s="22"/>
      <c r="E21" s="22"/>
      <c r="F21" s="22"/>
      <c r="G21" s="22"/>
      <c r="H21" s="23"/>
    </row>
    <row r="22" spans="1:8" ht="14.65" thickBot="1" x14ac:dyDescent="0.5"/>
    <row r="23" spans="1:8" ht="15.75" x14ac:dyDescent="0.5">
      <c r="A23" s="41" t="s">
        <v>32</v>
      </c>
      <c r="B23" s="42"/>
      <c r="C23" s="42"/>
      <c r="D23" s="42"/>
      <c r="E23" s="42"/>
      <c r="F23" s="42"/>
      <c r="G23" s="42"/>
      <c r="H23" s="43"/>
    </row>
    <row r="24" spans="1:8" x14ac:dyDescent="0.45">
      <c r="A24" s="24" t="s">
        <v>31</v>
      </c>
      <c r="B24" s="25"/>
      <c r="C24" s="25"/>
      <c r="D24" s="25"/>
      <c r="E24" s="25"/>
      <c r="F24" s="25"/>
      <c r="G24" s="25"/>
      <c r="H24" s="26"/>
    </row>
    <row r="25" spans="1:8" x14ac:dyDescent="0.45">
      <c r="A25" s="27"/>
      <c r="H25" s="28"/>
    </row>
    <row r="26" spans="1:8" x14ac:dyDescent="0.45">
      <c r="A26" s="27"/>
      <c r="H26" s="28"/>
    </row>
    <row r="27" spans="1:8" x14ac:dyDescent="0.45">
      <c r="A27" s="27"/>
      <c r="H27" s="28"/>
    </row>
    <row r="28" spans="1:8" x14ac:dyDescent="0.45">
      <c r="A28" s="27"/>
      <c r="H28" s="28"/>
    </row>
    <row r="29" spans="1:8" x14ac:dyDescent="0.45">
      <c r="A29" s="29" t="s">
        <v>27</v>
      </c>
      <c r="B29" s="22"/>
      <c r="C29" s="22"/>
      <c r="D29" s="22"/>
      <c r="E29" s="22"/>
      <c r="F29" s="22"/>
      <c r="G29" s="22"/>
      <c r="H29" s="30"/>
    </row>
    <row r="30" spans="1:8" ht="14.65" thickBot="1" x14ac:dyDescent="0.5"/>
    <row r="31" spans="1:8" ht="15.75" x14ac:dyDescent="0.5">
      <c r="A31" s="41" t="s">
        <v>33</v>
      </c>
      <c r="B31" s="42"/>
      <c r="C31" s="42"/>
      <c r="D31" s="42"/>
      <c r="E31" s="42"/>
      <c r="F31" s="42"/>
      <c r="G31" s="42"/>
      <c r="H31" s="43"/>
    </row>
    <row r="32" spans="1:8" x14ac:dyDescent="0.45">
      <c r="A32" s="24" t="s">
        <v>31</v>
      </c>
      <c r="B32" s="25"/>
      <c r="C32" s="25"/>
      <c r="D32" s="25"/>
      <c r="E32" s="25"/>
      <c r="F32" s="25"/>
      <c r="G32" s="25"/>
      <c r="H32" s="26"/>
    </row>
    <row r="33" spans="1:8" x14ac:dyDescent="0.45">
      <c r="A33" s="27"/>
      <c r="H33" s="28"/>
    </row>
    <row r="34" spans="1:8" x14ac:dyDescent="0.45">
      <c r="A34" s="27"/>
      <c r="H34" s="28"/>
    </row>
    <row r="35" spans="1:8" x14ac:dyDescent="0.45">
      <c r="A35" s="27"/>
      <c r="H35" s="28"/>
    </row>
    <row r="36" spans="1:8" x14ac:dyDescent="0.45">
      <c r="A36" s="27"/>
      <c r="H36" s="28"/>
    </row>
    <row r="37" spans="1:8" x14ac:dyDescent="0.45">
      <c r="A37" s="27"/>
      <c r="H37" s="28"/>
    </row>
    <row r="38" spans="1:8" x14ac:dyDescent="0.45">
      <c r="A38" s="27"/>
      <c r="H38" s="28"/>
    </row>
    <row r="39" spans="1:8" x14ac:dyDescent="0.45">
      <c r="A39" s="27"/>
      <c r="H39" s="28"/>
    </row>
    <row r="40" spans="1:8" x14ac:dyDescent="0.45">
      <c r="A40" s="27"/>
      <c r="H40" s="28"/>
    </row>
    <row r="41" spans="1:8" x14ac:dyDescent="0.45">
      <c r="A41" s="29" t="s">
        <v>35</v>
      </c>
      <c r="B41" s="22"/>
      <c r="C41" s="22"/>
      <c r="D41" s="22"/>
      <c r="E41" s="22"/>
      <c r="F41" s="22"/>
      <c r="G41" s="22"/>
      <c r="H41" s="30"/>
    </row>
  </sheetData>
  <mergeCells count="7">
    <mergeCell ref="A23:H23"/>
    <mergeCell ref="A31:H31"/>
    <mergeCell ref="N2:N3"/>
    <mergeCell ref="N4:N5"/>
    <mergeCell ref="A1:H1"/>
    <mergeCell ref="A8:H8"/>
    <mergeCell ref="A15:H15"/>
  </mergeCells>
  <conditionalFormatting sqref="P4:T5">
    <cfRule type="cellIs" dxfId="1" priority="1" operator="notEqual">
      <formula>$P$2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13</vt:i4>
      </vt:variant>
    </vt:vector>
  </HeadingPairs>
  <TitlesOfParts>
    <vt:vector size="15" baseType="lpstr">
      <vt:lpstr>Pricer_BS</vt:lpstr>
      <vt:lpstr>GREEK</vt:lpstr>
      <vt:lpstr>Dividend</vt:lpstr>
      <vt:lpstr>K</vt:lpstr>
      <vt:lpstr>Loi_Densite_D1</vt:lpstr>
      <vt:lpstr>r_D1</vt:lpstr>
      <vt:lpstr>r_D2</vt:lpstr>
      <vt:lpstr>r_minusNd1</vt:lpstr>
      <vt:lpstr>r_minusNd2</vt:lpstr>
      <vt:lpstr>r_Nd1</vt:lpstr>
      <vt:lpstr>r_Nd2</vt:lpstr>
      <vt:lpstr>RiskFree</vt:lpstr>
      <vt:lpstr>S0</vt:lpstr>
      <vt:lpstr>sigma</vt:lpstr>
      <vt:lpstr>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enzo Lamaison</cp:lastModifiedBy>
  <dcterms:created xsi:type="dcterms:W3CDTF">2025-11-02T20:10:15Z</dcterms:created>
  <dcterms:modified xsi:type="dcterms:W3CDTF">2025-11-04T14:21:40Z</dcterms:modified>
</cp:coreProperties>
</file>